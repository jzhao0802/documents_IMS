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5" yWindow="-15" windowWidth="19245" windowHeight="4845" activeTab="5"/>
  </bookViews>
  <sheets>
    <sheet name="Results_Summary" sheetId="1" r:id="rId1"/>
    <sheet name="US" sheetId="6" r:id="rId2"/>
    <sheet name="EUROPE" sheetId="8" r:id="rId3"/>
    <sheet name="JAPAN" sheetId="7" r:id="rId4"/>
    <sheet name="OVERALL" sheetId="4" r:id="rId5"/>
    <sheet name="Sheet7" sheetId="13" r:id="rId6"/>
    <sheet name="EUROPE_C" sheetId="103" r:id="rId7"/>
    <sheet name="JAPAN_C" sheetId="104" r:id="rId8"/>
    <sheet name="US_C" sheetId="105" r:id="rId9"/>
    <sheet name="OVERALL_C" sheetId="106" r:id="rId10"/>
  </sheets>
  <calcPr calcId="124519"/>
</workbook>
</file>

<file path=xl/calcChain.xml><?xml version="1.0" encoding="utf-8"?>
<calcChain xmlns="http://schemas.openxmlformats.org/spreadsheetml/2006/main">
  <c r="J3" i="1"/>
  <c r="D238"/>
  <c r="L3"/>
  <c r="K3"/>
  <c r="E8" i="8"/>
  <c r="E8" i="7"/>
  <c r="E8" i="6"/>
  <c r="E8" i="4"/>
  <c r="E9"/>
  <c r="X38" i="8" l="1"/>
  <c r="X37"/>
  <c r="X29"/>
  <c r="X28"/>
  <c r="X20"/>
  <c r="X19"/>
  <c r="W38"/>
  <c r="V38"/>
  <c r="U38"/>
  <c r="W37"/>
  <c r="V37"/>
  <c r="U37"/>
  <c r="W29"/>
  <c r="V29"/>
  <c r="U29"/>
  <c r="W28"/>
  <c r="V28"/>
  <c r="U28"/>
  <c r="W20"/>
  <c r="V20"/>
  <c r="U20"/>
  <c r="W19"/>
  <c r="V19"/>
  <c r="U19"/>
  <c r="R38"/>
  <c r="R37"/>
  <c r="R29"/>
  <c r="R28"/>
  <c r="R20"/>
  <c r="R19"/>
  <c r="Q38"/>
  <c r="P38"/>
  <c r="O38"/>
  <c r="Q37"/>
  <c r="P37"/>
  <c r="O37"/>
  <c r="Q29"/>
  <c r="P29"/>
  <c r="O29"/>
  <c r="Q28"/>
  <c r="P28"/>
  <c r="O28"/>
  <c r="Q20"/>
  <c r="P20"/>
  <c r="O20"/>
  <c r="Q19"/>
  <c r="P19"/>
  <c r="O19"/>
  <c r="K38"/>
  <c r="K37"/>
  <c r="K29"/>
  <c r="K28"/>
  <c r="K20"/>
  <c r="K19"/>
  <c r="J38"/>
  <c r="I38"/>
  <c r="H38"/>
  <c r="J37"/>
  <c r="I37"/>
  <c r="H37"/>
  <c r="J29"/>
  <c r="I29"/>
  <c r="H29"/>
  <c r="J28"/>
  <c r="I28"/>
  <c r="H28"/>
  <c r="J20"/>
  <c r="I20"/>
  <c r="H20"/>
  <c r="J19"/>
  <c r="I19"/>
  <c r="H19"/>
  <c r="E38"/>
  <c r="E37"/>
  <c r="E29"/>
  <c r="E28"/>
  <c r="E20"/>
  <c r="E19"/>
  <c r="D38"/>
  <c r="C38"/>
  <c r="B38"/>
  <c r="D37"/>
  <c r="C37"/>
  <c r="B37"/>
  <c r="D29"/>
  <c r="C29"/>
  <c r="B29"/>
  <c r="D28"/>
  <c r="C28"/>
  <c r="B28"/>
  <c r="D20"/>
  <c r="C20"/>
  <c r="B20"/>
  <c r="D19"/>
  <c r="C19"/>
  <c r="B19"/>
  <c r="R9"/>
  <c r="R8"/>
  <c r="Q9"/>
  <c r="P9"/>
  <c r="O9"/>
  <c r="Q8"/>
  <c r="P8"/>
  <c r="O8"/>
  <c r="E9"/>
  <c r="C9"/>
  <c r="B9"/>
  <c r="D8"/>
  <c r="C8"/>
  <c r="B8"/>
  <c r="D9"/>
  <c r="X38" i="7"/>
  <c r="X37"/>
  <c r="X29"/>
  <c r="X28"/>
  <c r="X20"/>
  <c r="X19"/>
  <c r="W38"/>
  <c r="V38"/>
  <c r="U38"/>
  <c r="W37"/>
  <c r="V37"/>
  <c r="U37"/>
  <c r="W29"/>
  <c r="V29"/>
  <c r="U29"/>
  <c r="W28"/>
  <c r="V28"/>
  <c r="U28"/>
  <c r="W20"/>
  <c r="V20"/>
  <c r="U20"/>
  <c r="W19"/>
  <c r="V19"/>
  <c r="U19"/>
  <c r="R38"/>
  <c r="R37"/>
  <c r="R29"/>
  <c r="R28"/>
  <c r="R20"/>
  <c r="R19"/>
  <c r="Q38"/>
  <c r="P38"/>
  <c r="O38"/>
  <c r="Q37"/>
  <c r="P37"/>
  <c r="O37"/>
  <c r="Q29"/>
  <c r="P29"/>
  <c r="O29"/>
  <c r="Q28"/>
  <c r="P28"/>
  <c r="O28"/>
  <c r="Q20"/>
  <c r="P20"/>
  <c r="O20"/>
  <c r="Q19"/>
  <c r="P19"/>
  <c r="O19"/>
  <c r="K38"/>
  <c r="K37"/>
  <c r="K29"/>
  <c r="K28"/>
  <c r="K20"/>
  <c r="K19"/>
  <c r="J38"/>
  <c r="I38"/>
  <c r="H38"/>
  <c r="J37"/>
  <c r="I37"/>
  <c r="H37"/>
  <c r="J29"/>
  <c r="I29"/>
  <c r="H29"/>
  <c r="J28"/>
  <c r="I28"/>
  <c r="H28"/>
  <c r="J20"/>
  <c r="I20"/>
  <c r="H20"/>
  <c r="J19"/>
  <c r="I19"/>
  <c r="H19"/>
  <c r="E38"/>
  <c r="E37"/>
  <c r="E29"/>
  <c r="E28"/>
  <c r="E20"/>
  <c r="E19"/>
  <c r="D38"/>
  <c r="C38"/>
  <c r="B38"/>
  <c r="D37"/>
  <c r="C37"/>
  <c r="B37"/>
  <c r="D29"/>
  <c r="C29"/>
  <c r="B29"/>
  <c r="D28"/>
  <c r="C28"/>
  <c r="B28"/>
  <c r="D20"/>
  <c r="C20"/>
  <c r="B20"/>
  <c r="D19"/>
  <c r="C19"/>
  <c r="B19"/>
  <c r="R9"/>
  <c r="R8"/>
  <c r="Q9"/>
  <c r="P9"/>
  <c r="O9"/>
  <c r="Q8"/>
  <c r="P8"/>
  <c r="O8"/>
  <c r="E9"/>
  <c r="C9"/>
  <c r="B9"/>
  <c r="D8"/>
  <c r="C8"/>
  <c r="B8"/>
  <c r="D9"/>
  <c r="X38" i="6"/>
  <c r="X37"/>
  <c r="X29"/>
  <c r="X28"/>
  <c r="X20"/>
  <c r="X19"/>
  <c r="W38"/>
  <c r="V38"/>
  <c r="U38"/>
  <c r="W37"/>
  <c r="V37"/>
  <c r="U37"/>
  <c r="W29"/>
  <c r="V29"/>
  <c r="U29"/>
  <c r="W28"/>
  <c r="V28"/>
  <c r="U28"/>
  <c r="W20"/>
  <c r="V20"/>
  <c r="U20"/>
  <c r="W19"/>
  <c r="V19"/>
  <c r="U19"/>
  <c r="R38"/>
  <c r="R37"/>
  <c r="R29"/>
  <c r="R28"/>
  <c r="R20"/>
  <c r="R19"/>
  <c r="Q38"/>
  <c r="P38"/>
  <c r="O38"/>
  <c r="Q37"/>
  <c r="P37"/>
  <c r="O37"/>
  <c r="Q29"/>
  <c r="P29"/>
  <c r="O29"/>
  <c r="Q28"/>
  <c r="P28"/>
  <c r="O28"/>
  <c r="Q20"/>
  <c r="P20"/>
  <c r="O20"/>
  <c r="Q19"/>
  <c r="P19"/>
  <c r="O19"/>
  <c r="K38"/>
  <c r="K37"/>
  <c r="K29"/>
  <c r="K28"/>
  <c r="K20"/>
  <c r="K19"/>
  <c r="J38"/>
  <c r="I38"/>
  <c r="H38"/>
  <c r="J37"/>
  <c r="I37"/>
  <c r="H37"/>
  <c r="J29"/>
  <c r="I29"/>
  <c r="H29"/>
  <c r="J28"/>
  <c r="I28"/>
  <c r="H28"/>
  <c r="J20"/>
  <c r="I20"/>
  <c r="H20"/>
  <c r="J19"/>
  <c r="I19"/>
  <c r="H19"/>
  <c r="E38"/>
  <c r="E37"/>
  <c r="E29"/>
  <c r="E28"/>
  <c r="E20"/>
  <c r="E19"/>
  <c r="D38"/>
  <c r="C38"/>
  <c r="B38"/>
  <c r="D37"/>
  <c r="C37"/>
  <c r="B37"/>
  <c r="D29"/>
  <c r="C29"/>
  <c r="B29"/>
  <c r="D28"/>
  <c r="C28"/>
  <c r="B28"/>
  <c r="D20"/>
  <c r="C20"/>
  <c r="B20"/>
  <c r="D19"/>
  <c r="C19"/>
  <c r="B19"/>
  <c r="R9"/>
  <c r="R8"/>
  <c r="Q9"/>
  <c r="P9"/>
  <c r="O9"/>
  <c r="Q8"/>
  <c r="P8"/>
  <c r="O8"/>
  <c r="E9"/>
  <c r="C9"/>
  <c r="B9"/>
  <c r="D8"/>
  <c r="C8"/>
  <c r="B8"/>
  <c r="D9"/>
  <c r="X38" i="4"/>
  <c r="X37"/>
  <c r="R38"/>
  <c r="R37"/>
  <c r="K38"/>
  <c r="K37"/>
  <c r="E38"/>
  <c r="E37"/>
  <c r="W38"/>
  <c r="V38"/>
  <c r="U38"/>
  <c r="Q38"/>
  <c r="P38"/>
  <c r="O38"/>
  <c r="J38"/>
  <c r="I38"/>
  <c r="H38"/>
  <c r="D38"/>
  <c r="C38"/>
  <c r="B38"/>
  <c r="W37"/>
  <c r="V37"/>
  <c r="U37"/>
  <c r="Q37"/>
  <c r="P37"/>
  <c r="O37"/>
  <c r="J37"/>
  <c r="I37"/>
  <c r="H37"/>
  <c r="D37"/>
  <c r="C37"/>
  <c r="B37"/>
  <c r="X29"/>
  <c r="X28"/>
  <c r="R29"/>
  <c r="R28"/>
  <c r="K29"/>
  <c r="K28"/>
  <c r="E29"/>
  <c r="E28"/>
  <c r="W29"/>
  <c r="V29"/>
  <c r="U29"/>
  <c r="Q29"/>
  <c r="P29"/>
  <c r="O29"/>
  <c r="W28"/>
  <c r="V28"/>
  <c r="U28"/>
  <c r="Q28"/>
  <c r="P28"/>
  <c r="O28"/>
  <c r="J29"/>
  <c r="I29"/>
  <c r="H29"/>
  <c r="J28"/>
  <c r="I28"/>
  <c r="H28"/>
  <c r="D29"/>
  <c r="C29"/>
  <c r="B29"/>
  <c r="D28"/>
  <c r="C28"/>
  <c r="B28"/>
  <c r="B19"/>
  <c r="X20"/>
  <c r="X19"/>
  <c r="W20"/>
  <c r="V20"/>
  <c r="U20"/>
  <c r="W19"/>
  <c r="V19"/>
  <c r="U19"/>
  <c r="R20"/>
  <c r="R19"/>
  <c r="Q20"/>
  <c r="P20"/>
  <c r="O20"/>
  <c r="Q19"/>
  <c r="P19"/>
  <c r="O19"/>
  <c r="J20"/>
  <c r="J19"/>
  <c r="I20"/>
  <c r="I19"/>
  <c r="H20"/>
  <c r="H19"/>
  <c r="D20"/>
  <c r="D19"/>
  <c r="C20"/>
  <c r="C19"/>
  <c r="B20"/>
  <c r="K20"/>
  <c r="K19"/>
  <c r="E20"/>
  <c r="E19"/>
  <c r="B8"/>
  <c r="R9"/>
  <c r="R8"/>
  <c r="Q9"/>
  <c r="P9"/>
  <c r="Q8"/>
  <c r="P8"/>
  <c r="D9"/>
  <c r="D8"/>
  <c r="C8"/>
  <c r="O9"/>
  <c r="O8"/>
  <c r="C9"/>
  <c r="B9"/>
</calcChain>
</file>

<file path=xl/comments1.xml><?xml version="1.0" encoding="utf-8"?>
<comments xmlns="http://schemas.openxmlformats.org/spreadsheetml/2006/main">
  <authors>
    <author>Author</author>
  </authors>
  <commentList>
    <comment ref="B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1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P19" authorId="0">
      <text>
        <r>
          <rPr>
            <sz val="9"/>
            <color indexed="81"/>
            <rFont val="Tahoma"/>
            <family val="2"/>
          </rPr>
          <t>3 were significant</t>
        </r>
      </text>
    </comment>
    <comment ref="Q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V1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W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20" authorId="0">
      <text>
        <r>
          <rPr>
            <sz val="9"/>
            <color indexed="81"/>
            <rFont val="Tahoma"/>
            <family val="2"/>
          </rPr>
          <t>2 were significant</t>
        </r>
      </text>
    </comment>
    <comment ref="D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P20" authorId="0">
      <text>
        <r>
          <rPr>
            <sz val="9"/>
            <color indexed="81"/>
            <rFont val="Tahoma"/>
            <family val="2"/>
          </rPr>
          <t>4 were significant</t>
        </r>
      </text>
    </comment>
    <comment ref="Q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V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D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P2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D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P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V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C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D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37" authorId="0">
      <text>
        <r>
          <rPr>
            <sz val="9"/>
            <color indexed="81"/>
            <rFont val="Tahoma"/>
            <family val="2"/>
          </rPr>
          <t>4 were significant</t>
        </r>
      </text>
    </comment>
    <comment ref="P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3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C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D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38" authorId="0">
      <text>
        <r>
          <rPr>
            <sz val="9"/>
            <color indexed="81"/>
            <rFont val="Tahoma"/>
            <family val="2"/>
          </rPr>
          <t>4 were significant</t>
        </r>
      </text>
    </comment>
    <comment ref="P3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3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B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1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1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J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P1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1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1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W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20" authorId="0">
      <text>
        <r>
          <rPr>
            <sz val="9"/>
            <color indexed="81"/>
            <rFont val="Tahoma"/>
            <family val="2"/>
          </rPr>
          <t>2 were significant</t>
        </r>
      </text>
    </comment>
    <comment ref="D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20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J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P20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0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20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W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C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D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P2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C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I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P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Q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C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I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37" authorId="0">
      <text>
        <r>
          <rPr>
            <sz val="9"/>
            <color indexed="81"/>
            <rFont val="Tahoma"/>
            <family val="2"/>
          </rPr>
          <t>2 were significant</t>
        </r>
      </text>
    </comment>
    <comment ref="P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38" authorId="0">
      <text>
        <r>
          <rPr>
            <sz val="9"/>
            <color indexed="81"/>
            <rFont val="Tahoma"/>
            <family val="2"/>
          </rPr>
          <t>3 were significant</t>
        </r>
      </text>
    </comment>
    <comment ref="C38" authorId="0">
      <text>
        <r>
          <rPr>
            <sz val="9"/>
            <color indexed="81"/>
            <rFont val="Tahoma"/>
            <family val="2"/>
          </rPr>
          <t>2 were significant</t>
        </r>
      </text>
    </comment>
    <comment ref="D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3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I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38" authorId="0">
      <text>
        <r>
          <rPr>
            <sz val="9"/>
            <color indexed="81"/>
            <rFont val="Tahoma"/>
            <family val="2"/>
          </rPr>
          <t>3 were significant</t>
        </r>
      </text>
    </comment>
    <comment ref="P3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3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B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D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P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Q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V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20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0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P20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V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28" authorId="0">
      <text>
        <r>
          <rPr>
            <sz val="9"/>
            <color indexed="81"/>
            <rFont val="Tahoma"/>
            <family val="2"/>
          </rPr>
          <t>2 were significant</t>
        </r>
      </text>
    </comment>
    <comment ref="D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2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J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P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Q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V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29" authorId="0">
      <text>
        <r>
          <rPr>
            <sz val="9"/>
            <color indexed="81"/>
            <rFont val="Tahoma"/>
            <family val="2"/>
          </rPr>
          <t>2 were significant</t>
        </r>
      </text>
    </comment>
    <comment ref="D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J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P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V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J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P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Q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V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3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C3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3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J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38" authorId="0">
      <text>
        <r>
          <rPr>
            <sz val="9"/>
            <color indexed="81"/>
            <rFont val="Tahoma"/>
            <family val="2"/>
          </rPr>
          <t>2 were significant</t>
        </r>
      </text>
    </comment>
    <comment ref="P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Q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V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</commentList>
</comments>
</file>

<file path=xl/comments4.xml><?xml version="1.0" encoding="utf-8"?>
<comments xmlns="http://schemas.openxmlformats.org/spreadsheetml/2006/main">
  <authors>
    <author>Author</author>
  </authors>
  <commentList>
    <comment ref="B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1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1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J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P19" authorId="0">
      <text>
        <r>
          <rPr>
            <sz val="9"/>
            <color indexed="81"/>
            <rFont val="Tahoma"/>
            <family val="2"/>
          </rPr>
          <t>3 were significant</t>
        </r>
      </text>
    </comment>
    <comment ref="Q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V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1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20" authorId="0">
      <text>
        <r>
          <rPr>
            <sz val="9"/>
            <color indexed="81"/>
            <rFont val="Tahoma"/>
            <family val="2"/>
          </rPr>
          <t>2 were significant</t>
        </r>
      </text>
    </comment>
    <comment ref="D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P20" authorId="0">
      <text>
        <r>
          <rPr>
            <sz val="9"/>
            <color indexed="81"/>
            <rFont val="Tahoma"/>
            <family val="2"/>
          </rPr>
          <t>2 were significant</t>
        </r>
      </text>
    </comment>
    <comment ref="Q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0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20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C2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P2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2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C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I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P29" authorId="0">
      <text>
        <r>
          <rPr>
            <sz val="9"/>
            <color indexed="81"/>
            <rFont val="Tahoma"/>
            <family val="2"/>
          </rPr>
          <t>2 were significant</t>
        </r>
      </text>
    </comment>
    <comment ref="Q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29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29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C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37" authorId="0">
      <text>
        <r>
          <rPr>
            <sz val="9"/>
            <color indexed="81"/>
            <rFont val="Tahoma"/>
            <family val="2"/>
          </rPr>
          <t>3 were significant</t>
        </r>
      </text>
    </comment>
    <comment ref="P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Q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37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37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B38" authorId="0">
      <text>
        <r>
          <rPr>
            <sz val="9"/>
            <color indexed="81"/>
            <rFont val="Tahoma"/>
            <family val="2"/>
          </rPr>
          <t>3 were significant</t>
        </r>
      </text>
    </comment>
    <comment ref="C3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D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H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I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J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O38" authorId="0">
      <text>
        <r>
          <rPr>
            <sz val="9"/>
            <color indexed="81"/>
            <rFont val="Tahoma"/>
            <family val="2"/>
          </rPr>
          <t>4 were significant</t>
        </r>
      </text>
    </comment>
    <comment ref="P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Q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U38" authorId="0">
      <text>
        <r>
          <rPr>
            <sz val="9"/>
            <color indexed="81"/>
            <rFont val="Tahoma"/>
            <family val="2"/>
          </rPr>
          <t>1 were significant</t>
        </r>
      </text>
    </comment>
    <comment ref="V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  <comment ref="W38" authorId="0">
      <text>
        <r>
          <rPr>
            <sz val="9"/>
            <color indexed="81"/>
            <rFont val="Tahoma"/>
            <family val="2"/>
          </rPr>
          <t>0 were significant</t>
        </r>
      </text>
    </comment>
  </commentList>
</comments>
</file>

<file path=xl/sharedStrings.xml><?xml version="1.0" encoding="utf-8"?>
<sst xmlns="http://schemas.openxmlformats.org/spreadsheetml/2006/main" count="2961" uniqueCount="126">
  <si>
    <t>Units Comparison</t>
  </si>
  <si>
    <t>Units Share Comparison</t>
  </si>
  <si>
    <t>Crestor</t>
  </si>
  <si>
    <t>Study Announcement(1/1/2004)</t>
  </si>
  <si>
    <t>Study Result Release(3/1/2006)</t>
  </si>
  <si>
    <t>3 Yr Post-Study(3/1/2009)</t>
  </si>
  <si>
    <t>Product</t>
  </si>
  <si>
    <t>Metrics</t>
  </si>
  <si>
    <t>Length</t>
  </si>
  <si>
    <t>EUROPE</t>
  </si>
  <si>
    <t>JAPAN</t>
  </si>
  <si>
    <t>US</t>
  </si>
  <si>
    <t>OVERALL</t>
  </si>
  <si>
    <t>3 month</t>
  </si>
  <si>
    <t>6 month</t>
  </si>
  <si>
    <t>% Change</t>
  </si>
  <si>
    <t>Efficacy</t>
  </si>
  <si>
    <t>positive</t>
  </si>
  <si>
    <t>negtive</t>
  </si>
  <si>
    <t>Segment:Superior Efficacy</t>
  </si>
  <si>
    <t>Segment: No-Difference</t>
  </si>
  <si>
    <t>Study Announcement(1/1/2008)</t>
  </si>
  <si>
    <t>3 Yr Post-Study(6/1/2014)</t>
  </si>
  <si>
    <t>Study Announcement(2/1/2006)</t>
  </si>
  <si>
    <t>Study Result Release(3/3/2010)</t>
  </si>
  <si>
    <t>3 Yr Post-Study(3/3/2013)</t>
  </si>
  <si>
    <t>Segment: Inferior efficacy</t>
  </si>
  <si>
    <t>Study Announcement(11/1/2005)</t>
  </si>
  <si>
    <t>Study Result Release(3/1/2008)</t>
  </si>
  <si>
    <t>3 Yr Post-Study(3/1/2011)</t>
  </si>
  <si>
    <t>Study Announcement(9/1/2008)</t>
  </si>
  <si>
    <t>Study Result Release(10/1/2013)</t>
  </si>
  <si>
    <t>3 Yr Post-Study(10/1/2016)</t>
  </si>
  <si>
    <t>Pitavastatin (Livalo)</t>
  </si>
  <si>
    <t>Study Announcement(8/1/2006)</t>
  </si>
  <si>
    <t>Study Result Release(10/1/2008)</t>
  </si>
  <si>
    <t>3 Yr Post-Study(10/1/2011)</t>
  </si>
  <si>
    <t>Vytorin</t>
  </si>
  <si>
    <t>Aggrenox</t>
  </si>
  <si>
    <t>Study Announcement ( 3/1/2010)</t>
  </si>
  <si>
    <t>Study Result Release (12/1/2012)</t>
  </si>
  <si>
    <t>Cilostazol + ASA + Clopidogrel</t>
  </si>
  <si>
    <t>Effient</t>
  </si>
  <si>
    <t>Study Announcement(3/1/2012)</t>
  </si>
  <si>
    <t>Study Result Release(2/1/2013)</t>
  </si>
  <si>
    <t>Study Announcement (6/1/2012)</t>
  </si>
  <si>
    <t>Study Result Release (9/1/2012)</t>
  </si>
  <si>
    <t>Study Announcement (8/1/2003)</t>
  </si>
  <si>
    <t>Study Result Release (4/1/2008)</t>
  </si>
  <si>
    <t>3 Yr Post-Study (4/1/2011)</t>
  </si>
  <si>
    <t>par</t>
  </si>
  <si>
    <t>Difference of Monthly Average</t>
  </si>
  <si>
    <t>3 Yr Post-Study(2/1/2016)</t>
  </si>
  <si>
    <t>3 Yr Post-Study(12/1/2015)</t>
  </si>
  <si>
    <t>3 Yr Post-Study(9/1/2015)</t>
  </si>
  <si>
    <t>Study Result Release(6/1/2011)</t>
  </si>
  <si>
    <t>Study Announcement (1/1/2012)</t>
  </si>
  <si>
    <t>Study Result Release (1/1/2013)</t>
  </si>
  <si>
    <t>3 Yr Post-Study(1/1/2016)</t>
  </si>
  <si>
    <t>significant</t>
  </si>
  <si>
    <t>P-Value</t>
  </si>
  <si>
    <t>Significant</t>
  </si>
  <si>
    <t>insignificant</t>
  </si>
  <si>
    <t>Stat Significance of Difference</t>
  </si>
  <si>
    <t>marginal significant</t>
  </si>
  <si>
    <t>Marginal Significant</t>
  </si>
  <si>
    <t>Valsartan; Amlodipine</t>
  </si>
  <si>
    <t>Study Announcement(11/1/2010)</t>
  </si>
  <si>
    <t>Study Result Release(9/1/2011)</t>
  </si>
  <si>
    <t>3 Yr Post-Study(9/1/2014)</t>
  </si>
  <si>
    <t>Study Announcement(7/1/2013)</t>
  </si>
  <si>
    <t>Study Result Release(7/1/2014)</t>
  </si>
  <si>
    <t>3 Yr Post-Study(7/1/2017)</t>
  </si>
  <si>
    <t>Brilinta</t>
  </si>
  <si>
    <t>Study Announcement(7/1/2012)</t>
  </si>
  <si>
    <t>Study Result Release(6/1/2014)</t>
  </si>
  <si>
    <t>3 Yr Post-Study(6/1/2017)</t>
  </si>
  <si>
    <t>Study Announcement(11/1/2012)</t>
  </si>
  <si>
    <t>Study Result Release(4/1/2013)</t>
  </si>
  <si>
    <t>3 Yr Post-Study(4/1/2016)</t>
  </si>
  <si>
    <t>Study announcement</t>
  </si>
  <si>
    <t>Impact on unit growth</t>
  </si>
  <si>
    <t>Impact on share</t>
  </si>
  <si>
    <t>Negative</t>
  </si>
  <si>
    <t>Positive</t>
  </si>
  <si>
    <t>Average</t>
  </si>
  <si>
    <t>No Difference</t>
  </si>
  <si>
    <t>Superior results</t>
  </si>
  <si>
    <t>At release</t>
  </si>
  <si>
    <t>3 years post</t>
  </si>
  <si>
    <t>No difference</t>
  </si>
  <si>
    <t>Inferior results</t>
  </si>
  <si>
    <t>Results Summary I</t>
  </si>
  <si>
    <t>Results Summary II</t>
  </si>
  <si>
    <t>insigificant</t>
  </si>
  <si>
    <t>pos</t>
    <phoneticPr fontId="33" type="noConversion"/>
  </si>
  <si>
    <t>neg</t>
    <phoneticPr fontId="33" type="noConversion"/>
  </si>
  <si>
    <t>no_diff</t>
    <phoneticPr fontId="33" type="noConversion"/>
  </si>
  <si>
    <t>2+1</t>
    <phoneticPr fontId="33" type="noConversion"/>
  </si>
  <si>
    <t>3month</t>
  </si>
  <si>
    <t>6month</t>
  </si>
  <si>
    <t>3month</t>
    <phoneticPr fontId="33" type="noConversion"/>
  </si>
  <si>
    <t>6month</t>
    <phoneticPr fontId="33" type="noConversion"/>
  </si>
  <si>
    <t>neg</t>
  </si>
  <si>
    <t>pos</t>
  </si>
  <si>
    <t>insig</t>
  </si>
  <si>
    <t>sigt level =0.2</t>
  </si>
  <si>
    <t>sig</t>
  </si>
  <si>
    <t>sig</t>
    <phoneticPr fontId="33" type="noConversion"/>
  </si>
  <si>
    <t>position</t>
    <phoneticPr fontId="33" type="noConversion"/>
  </si>
  <si>
    <t>position</t>
  </si>
  <si>
    <t>sig</t>
    <phoneticPr fontId="33" type="noConversion"/>
  </si>
  <si>
    <t>negative</t>
    <phoneticPr fontId="33" type="noConversion"/>
  </si>
  <si>
    <t>UNITS</t>
  </si>
  <si>
    <t>UNITS SHARE</t>
  </si>
  <si>
    <t>negative</t>
    <phoneticPr fontId="33" type="noConversion"/>
  </si>
  <si>
    <t>position</t>
    <phoneticPr fontId="33" type="noConversion"/>
  </si>
  <si>
    <t>negative</t>
    <phoneticPr fontId="33" type="noConversion"/>
  </si>
  <si>
    <t>position</t>
    <phoneticPr fontId="33" type="noConversion"/>
  </si>
  <si>
    <t>announcement</t>
  </si>
  <si>
    <t>SUPERIOR</t>
  </si>
  <si>
    <t>NO DIFFERENCE</t>
  </si>
  <si>
    <t>INFERIOR</t>
  </si>
  <si>
    <t>release study</t>
  </si>
  <si>
    <t>3 years-post study</t>
  </si>
  <si>
    <t>Sig Mar</t>
  </si>
</sst>
</file>

<file path=xl/styles.xml><?xml version="1.0" encoding="utf-8"?>
<styleSheet xmlns="http://schemas.openxmlformats.org/spreadsheetml/2006/main">
  <numFmts count="5">
    <numFmt numFmtId="43" formatCode="_(* #,##0.00_);_(* \(#,##0.00\);_(* &quot;-&quot;??_);_(@_)"/>
    <numFmt numFmtId="176" formatCode="_(* #,##0.0000000_);_(* \(#,##0.0000000\);_(* &quot;-&quot;??_);_(@_)"/>
    <numFmt numFmtId="177" formatCode="_(* #,##0.00000000_);_(* \(#,##0.00000000\);_(* &quot;-&quot;??_);_(@_)"/>
    <numFmt numFmtId="178" formatCode="_(* #,##0.000000000_);_(* \(#,##0.000000000\);_(* &quot;-&quot;??_);_(@_)"/>
    <numFmt numFmtId="179" formatCode="0.000%"/>
  </numFmts>
  <fonts count="35">
    <font>
      <sz val="11"/>
      <color theme="1"/>
      <name val="宋体"/>
      <family val="2"/>
      <scheme val="minor"/>
    </font>
    <font>
      <sz val="10"/>
      <color theme="1"/>
      <name val="Verdana"/>
      <family val="2"/>
    </font>
    <font>
      <sz val="11"/>
      <color theme="1"/>
      <name val="宋体"/>
      <family val="2"/>
      <scheme val="minor"/>
    </font>
    <font>
      <b/>
      <sz val="12"/>
      <name val="Verdana"/>
      <family val="2"/>
    </font>
    <font>
      <b/>
      <sz val="14"/>
      <name val="Verdana"/>
      <family val="2"/>
    </font>
    <font>
      <b/>
      <sz val="11"/>
      <color rgb="FF00000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4"/>
      <name val="Calibri"/>
      <family val="2"/>
    </font>
    <font>
      <b/>
      <sz val="18"/>
      <color theme="3"/>
      <name val="宋体"/>
      <family val="2"/>
      <scheme val="major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b/>
      <sz val="11"/>
      <color theme="3"/>
      <name val="Verdana"/>
      <family val="2"/>
    </font>
    <font>
      <sz val="10"/>
      <color rgb="FF006100"/>
      <name val="Verdana"/>
      <family val="2"/>
    </font>
    <font>
      <sz val="10"/>
      <color rgb="FF9C0006"/>
      <name val="Verdana"/>
      <family val="2"/>
    </font>
    <font>
      <sz val="10"/>
      <color rgb="FF9C6500"/>
      <name val="Verdana"/>
      <family val="2"/>
    </font>
    <font>
      <sz val="10"/>
      <color rgb="FF3F3F76"/>
      <name val="Verdana"/>
      <family val="2"/>
    </font>
    <font>
      <b/>
      <sz val="10"/>
      <color rgb="FF3F3F3F"/>
      <name val="Verdana"/>
      <family val="2"/>
    </font>
    <font>
      <b/>
      <sz val="10"/>
      <color rgb="FFFA7D00"/>
      <name val="Verdana"/>
      <family val="2"/>
    </font>
    <font>
      <sz val="10"/>
      <color rgb="FFFA7D00"/>
      <name val="Verdana"/>
      <family val="2"/>
    </font>
    <font>
      <b/>
      <sz val="10"/>
      <color theme="0"/>
      <name val="Verdana"/>
      <family val="2"/>
    </font>
    <font>
      <sz val="10"/>
      <color rgb="FFFF0000"/>
      <name val="Verdana"/>
      <family val="2"/>
    </font>
    <font>
      <i/>
      <sz val="10"/>
      <color rgb="FF7F7F7F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10"/>
      <name val="MS Sans Serif"/>
      <family val="2"/>
    </font>
    <font>
      <sz val="10"/>
      <color rgb="FF000000"/>
      <name val="Verdana"/>
      <family val="2"/>
    </font>
    <font>
      <sz val="10"/>
      <color rgb="FF000000"/>
      <name val="宋体"/>
      <family val="2"/>
      <scheme val="minor"/>
    </font>
    <font>
      <sz val="11"/>
      <color rgb="FF000000"/>
      <name val="宋体"/>
      <family val="2"/>
      <scheme val="minor"/>
    </font>
    <font>
      <sz val="10"/>
      <color rgb="FF9C0006"/>
      <name val="宋体"/>
      <family val="2"/>
      <scheme val="minor"/>
    </font>
    <font>
      <b/>
      <sz val="11"/>
      <color theme="1"/>
      <name val="宋体"/>
      <family val="2"/>
      <scheme val="minor"/>
    </font>
    <font>
      <i/>
      <sz val="11"/>
      <color theme="1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indexed="81"/>
      <name val="Tahoma"/>
      <family val="2"/>
    </font>
  </fonts>
  <fills count="3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2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14" applyNumberFormat="0" applyFill="0" applyAlignment="0" applyProtection="0"/>
    <xf numFmtId="0" fontId="11" fillId="0" borderId="15" applyNumberFormat="0" applyFill="0" applyAlignment="0" applyProtection="0"/>
    <xf numFmtId="0" fontId="12" fillId="0" borderId="16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17" applyNumberFormat="0" applyAlignment="0" applyProtection="0"/>
    <xf numFmtId="0" fontId="17" fillId="10" borderId="18" applyNumberFormat="0" applyAlignment="0" applyProtection="0"/>
    <xf numFmtId="0" fontId="18" fillId="10" borderId="17" applyNumberFormat="0" applyAlignment="0" applyProtection="0"/>
    <xf numFmtId="0" fontId="19" fillId="0" borderId="19" applyNumberFormat="0" applyFill="0" applyAlignment="0" applyProtection="0"/>
    <xf numFmtId="0" fontId="20" fillId="11" borderId="20" applyNumberFormat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24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4" fillId="20" borderId="0" applyNumberFormat="0" applyBorder="0" applyAlignment="0" applyProtection="0"/>
    <xf numFmtId="0" fontId="24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4" fillId="24" borderId="0" applyNumberFormat="0" applyBorder="0" applyAlignment="0" applyProtection="0"/>
    <xf numFmtId="0" fontId="24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4" fillId="28" borderId="0" applyNumberFormat="0" applyBorder="0" applyAlignment="0" applyProtection="0"/>
    <xf numFmtId="0" fontId="24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4" fillId="32" borderId="0" applyNumberFormat="0" applyBorder="0" applyAlignment="0" applyProtection="0"/>
    <xf numFmtId="0" fontId="24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24" fillId="36" borderId="0" applyNumberFormat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12" borderId="21" applyNumberFormat="0" applyFont="0" applyAlignment="0" applyProtection="0"/>
    <xf numFmtId="9" fontId="1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1">
    <xf numFmtId="0" fontId="0" fillId="0" borderId="0" xfId="0"/>
    <xf numFmtId="0" fontId="3" fillId="2" borderId="0" xfId="0" applyFont="1" applyFill="1" applyAlignment="1"/>
    <xf numFmtId="0" fontId="0" fillId="0" borderId="0" xfId="0" applyFill="1"/>
    <xf numFmtId="0" fontId="4" fillId="0" borderId="0" xfId="0" applyFont="1" applyAlignment="1"/>
    <xf numFmtId="0" fontId="0" fillId="0" borderId="0" xfId="0" applyBorder="1"/>
    <xf numFmtId="0" fontId="0" fillId="0" borderId="0" xfId="0" applyFill="1" applyBorder="1"/>
    <xf numFmtId="0" fontId="0" fillId="0" borderId="1" xfId="0" applyFill="1" applyBorder="1"/>
    <xf numFmtId="0" fontId="6" fillId="4" borderId="7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0" fillId="0" borderId="0" xfId="0" applyFill="1" applyBorder="1" applyAlignment="1"/>
    <xf numFmtId="0" fontId="0" fillId="0" borderId="13" xfId="0" applyFill="1" applyBorder="1"/>
    <xf numFmtId="0" fontId="0" fillId="0" borderId="13" xfId="0" applyBorder="1"/>
    <xf numFmtId="0" fontId="0" fillId="0" borderId="1" xfId="0" applyBorder="1"/>
    <xf numFmtId="0" fontId="0" fillId="0" borderId="12" xfId="0" applyBorder="1"/>
    <xf numFmtId="0" fontId="0" fillId="0" borderId="0" xfId="0" applyFill="1" applyAlignment="1">
      <alignment horizontal="center"/>
    </xf>
    <xf numFmtId="0" fontId="7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7" fillId="0" borderId="7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/>
    </xf>
    <xf numFmtId="0" fontId="26" fillId="0" borderId="0" xfId="0" applyFont="1" applyFill="1" applyBorder="1" applyAlignment="1">
      <alignment horizontal="center" vertical="center" wrapText="1"/>
    </xf>
    <xf numFmtId="0" fontId="26" fillId="0" borderId="0" xfId="0" applyFont="1" applyFill="1" applyBorder="1" applyAlignment="1">
      <alignment horizontal="center"/>
    </xf>
    <xf numFmtId="0" fontId="0" fillId="0" borderId="0" xfId="0" applyFont="1" applyFill="1"/>
    <xf numFmtId="0" fontId="0" fillId="0" borderId="13" xfId="0" applyFont="1" applyFill="1" applyBorder="1"/>
    <xf numFmtId="0" fontId="28" fillId="0" borderId="7" xfId="0" applyFont="1" applyFill="1" applyBorder="1" applyAlignment="1">
      <alignment horizontal="center"/>
    </xf>
    <xf numFmtId="0" fontId="28" fillId="0" borderId="7" xfId="0" applyFont="1" applyBorder="1" applyAlignment="1">
      <alignment horizontal="center"/>
    </xf>
    <xf numFmtId="0" fontId="0" fillId="0" borderId="7" xfId="0" applyBorder="1"/>
    <xf numFmtId="0" fontId="7" fillId="0" borderId="0" xfId="0" applyFont="1" applyFill="1" applyBorder="1" applyAlignment="1">
      <alignment horizontal="center" vertical="center" wrapText="1"/>
    </xf>
    <xf numFmtId="0" fontId="0" fillId="37" borderId="23" xfId="0" applyFill="1" applyBorder="1"/>
    <xf numFmtId="0" fontId="7" fillId="0" borderId="11" xfId="0" applyFont="1" applyBorder="1" applyAlignment="1">
      <alignment horizontal="center"/>
    </xf>
    <xf numFmtId="0" fontId="30" fillId="0" borderId="0" xfId="0" applyFont="1"/>
    <xf numFmtId="0" fontId="31" fillId="0" borderId="0" xfId="0" applyFont="1"/>
    <xf numFmtId="10" fontId="0" fillId="0" borderId="0" xfId="0" applyNumberFormat="1"/>
    <xf numFmtId="10" fontId="0" fillId="0" borderId="8" xfId="0" applyNumberFormat="1" applyBorder="1"/>
    <xf numFmtId="10" fontId="0" fillId="0" borderId="11" xfId="0" applyNumberFormat="1" applyBorder="1"/>
    <xf numFmtId="0" fontId="0" fillId="0" borderId="11" xfId="0" applyBorder="1"/>
    <xf numFmtId="10" fontId="0" fillId="0" borderId="0" xfId="0" applyNumberFormat="1" applyBorder="1"/>
    <xf numFmtId="10" fontId="0" fillId="0" borderId="11" xfId="51" applyNumberFormat="1" applyFont="1" applyBorder="1"/>
    <xf numFmtId="10" fontId="0" fillId="0" borderId="8" xfId="51" applyNumberFormat="1" applyFont="1" applyBorder="1"/>
    <xf numFmtId="10" fontId="0" fillId="0" borderId="0" xfId="51" applyNumberFormat="1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43" fontId="7" fillId="0" borderId="0" xfId="1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43" fontId="7" fillId="0" borderId="8" xfId="1" applyFont="1" applyBorder="1" applyAlignment="1">
      <alignment horizontal="center" vertical="center"/>
    </xf>
    <xf numFmtId="10" fontId="7" fillId="0" borderId="8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28" fillId="0" borderId="7" xfId="0" applyFont="1" applyFill="1" applyBorder="1" applyAlignment="1">
      <alignment horizontal="center" vertical="center"/>
    </xf>
    <xf numFmtId="43" fontId="28" fillId="0" borderId="8" xfId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0" fontId="7" fillId="0" borderId="8" xfId="0" applyNumberFormat="1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9" fillId="0" borderId="0" xfId="8" applyFont="1" applyFill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10" fontId="7" fillId="0" borderId="8" xfId="51" applyNumberFormat="1" applyFont="1" applyBorder="1" applyAlignment="1">
      <alignment horizontal="center" vertical="center"/>
    </xf>
    <xf numFmtId="178" fontId="7" fillId="0" borderId="8" xfId="1" applyNumberFormat="1" applyFont="1" applyBorder="1" applyAlignment="1">
      <alignment horizontal="center" vertical="center"/>
    </xf>
    <xf numFmtId="0" fontId="26" fillId="0" borderId="0" xfId="0" applyFont="1" applyFill="1" applyBorder="1" applyAlignment="1">
      <alignment horizontal="center" vertical="center"/>
    </xf>
    <xf numFmtId="177" fontId="7" fillId="0" borderId="8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43" fontId="28" fillId="0" borderId="0" xfId="1" applyFont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10" fontId="7" fillId="0" borderId="8" xfId="1" applyNumberFormat="1" applyFont="1" applyBorder="1" applyAlignment="1">
      <alignment horizontal="center" vertical="center"/>
    </xf>
    <xf numFmtId="43" fontId="7" fillId="0" borderId="7" xfId="43" applyFont="1" applyBorder="1" applyAlignment="1">
      <alignment horizontal="center" vertical="center"/>
    </xf>
    <xf numFmtId="43" fontId="7" fillId="0" borderId="0" xfId="43" applyFont="1" applyBorder="1" applyAlignment="1">
      <alignment horizontal="center" vertical="center"/>
    </xf>
    <xf numFmtId="179" fontId="7" fillId="0" borderId="8" xfId="51" applyNumberFormat="1" applyFont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/>
    </xf>
    <xf numFmtId="176" fontId="7" fillId="0" borderId="8" xfId="1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3" fontId="7" fillId="0" borderId="8" xfId="1" applyFont="1" applyBorder="1" applyAlignment="1">
      <alignment horizontal="right" vertical="center"/>
    </xf>
    <xf numFmtId="0" fontId="32" fillId="4" borderId="2" xfId="0" applyFont="1" applyFill="1" applyBorder="1" applyAlignment="1">
      <alignment horizontal="center"/>
    </xf>
    <xf numFmtId="0" fontId="32" fillId="4" borderId="9" xfId="0" applyFont="1" applyFill="1" applyBorder="1" applyAlignment="1">
      <alignment horizontal="center"/>
    </xf>
    <xf numFmtId="0" fontId="32" fillId="4" borderId="7" xfId="0" applyFont="1" applyFill="1" applyBorder="1" applyAlignment="1">
      <alignment horizontal="center"/>
    </xf>
    <xf numFmtId="10" fontId="7" fillId="0" borderId="7" xfId="43" applyNumberFormat="1" applyFont="1" applyBorder="1"/>
    <xf numFmtId="43" fontId="7" fillId="0" borderId="7" xfId="43" applyFont="1" applyBorder="1" applyAlignment="1">
      <alignment horizontal="right" vertical="center"/>
    </xf>
    <xf numFmtId="10" fontId="7" fillId="0" borderId="7" xfId="0" applyNumberFormat="1" applyFont="1" applyBorder="1"/>
    <xf numFmtId="10" fontId="7" fillId="0" borderId="7" xfId="0" applyNumberFormat="1" applyFont="1" applyBorder="1" applyAlignment="1">
      <alignment horizontal="right" vertical="center"/>
    </xf>
    <xf numFmtId="0" fontId="7" fillId="0" borderId="7" xfId="0" applyFont="1" applyBorder="1" applyAlignment="1">
      <alignment horizontal="right"/>
    </xf>
    <xf numFmtId="0" fontId="7" fillId="0" borderId="7" xfId="0" applyFont="1" applyBorder="1" applyAlignment="1">
      <alignment horizontal="right" vertical="center"/>
    </xf>
    <xf numFmtId="0" fontId="32" fillId="4" borderId="13" xfId="0" applyFont="1" applyFill="1" applyBorder="1" applyAlignment="1">
      <alignment horizontal="center"/>
    </xf>
    <xf numFmtId="0" fontId="32" fillId="4" borderId="10" xfId="0" applyFont="1" applyFill="1" applyBorder="1" applyAlignment="1">
      <alignment horizontal="center"/>
    </xf>
    <xf numFmtId="0" fontId="7" fillId="38" borderId="8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/>
    </xf>
    <xf numFmtId="0" fontId="8" fillId="5" borderId="3" xfId="0" applyFont="1" applyFill="1" applyBorder="1" applyAlignment="1">
      <alignment horizontal="left"/>
    </xf>
    <xf numFmtId="0" fontId="8" fillId="5" borderId="4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28" fillId="0" borderId="7" xfId="0" applyFont="1" applyBorder="1" applyAlignment="1">
      <alignment horizontal="center" vertical="center" wrapText="1"/>
    </xf>
    <xf numFmtId="0" fontId="28" fillId="0" borderId="9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1" xfId="0" applyFont="1" applyFill="1" applyBorder="1" applyAlignment="1">
      <alignment horizontal="center" vertical="center" wrapText="1"/>
    </xf>
    <xf numFmtId="0" fontId="28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 wrapText="1"/>
    </xf>
    <xf numFmtId="0" fontId="30" fillId="3" borderId="0" xfId="0" applyFont="1" applyFill="1" applyAlignment="1">
      <alignment horizontal="left"/>
    </xf>
  </cellXfs>
  <cellStyles count="5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Comma 2" xfId="45"/>
    <cellStyle name="Comma 3" xfId="43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4"/>
    <cellStyle name="Normal 2 2" xfId="49"/>
    <cellStyle name="Normal 3" xfId="42"/>
    <cellStyle name="Note 2" xfId="46"/>
    <cellStyle name="Output" xfId="11" builtinId="21" customBuiltin="1"/>
    <cellStyle name="Percent" xfId="51" builtinId="5"/>
    <cellStyle name="Percent 2" xfId="47"/>
    <cellStyle name="Percent 2 2" xfId="50"/>
    <cellStyle name="Percent 3" xfId="48"/>
    <cellStyle name="Title" xfId="2" builtinId="15" customBuiltin="1"/>
    <cellStyle name="Total" xfId="17" builtinId="25" customBuiltin="1"/>
    <cellStyle name="Warning Text" xfId="15" builtinId="11" customBuiltin="1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6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F244"/>
  <sheetViews>
    <sheetView showGridLines="0" zoomScale="90" zoomScaleNormal="90" workbookViewId="0">
      <pane ySplit="5" topLeftCell="A6" activePane="bottomLeft" state="frozen"/>
      <selection pane="bottomLeft" activeCell="A27" sqref="A27:C27"/>
    </sheetView>
  </sheetViews>
  <sheetFormatPr defaultRowHeight="13.5"/>
  <cols>
    <col min="1" max="1" width="11.75" customWidth="1"/>
    <col min="2" max="2" width="16.25" style="49" bestFit="1" customWidth="1"/>
    <col min="3" max="3" width="8.25" style="17" bestFit="1" customWidth="1"/>
    <col min="4" max="4" width="19.125" style="49" bestFit="1" customWidth="1"/>
    <col min="5" max="5" width="14.625" style="49" bestFit="1" customWidth="1"/>
    <col min="6" max="6" width="20.375" style="49" bestFit="1" customWidth="1"/>
    <col min="7" max="7" width="15" style="49" bestFit="1" customWidth="1"/>
    <col min="8" max="8" width="14.625" style="49" bestFit="1" customWidth="1"/>
    <col min="9" max="9" width="15" style="49" bestFit="1" customWidth="1"/>
    <col min="10" max="10" width="19.25" style="49" bestFit="1" customWidth="1"/>
    <col min="11" max="11" width="15" style="49" bestFit="1" customWidth="1"/>
    <col min="12" max="12" width="14.625" style="49" bestFit="1" customWidth="1"/>
    <col min="13" max="13" width="15" style="49" bestFit="1" customWidth="1"/>
    <col min="14" max="15" width="14.625" style="49" bestFit="1" customWidth="1"/>
    <col min="16" max="16" width="6.625" customWidth="1"/>
    <col min="18" max="18" width="11.25" customWidth="1"/>
    <col min="19" max="19" width="16.25" style="49" bestFit="1" customWidth="1"/>
    <col min="20" max="20" width="8.25" style="49" bestFit="1" customWidth="1"/>
    <col min="21" max="24" width="13.25" style="49" bestFit="1" customWidth="1"/>
    <col min="25" max="25" width="14.625" style="49" customWidth="1"/>
    <col min="26" max="26" width="19.125" style="49" bestFit="1" customWidth="1"/>
    <col min="27" max="27" width="13.25" style="49" bestFit="1" customWidth="1"/>
    <col min="28" max="28" width="20.375" style="49" bestFit="1" customWidth="1"/>
    <col min="29" max="32" width="13.25" style="49" bestFit="1" customWidth="1"/>
    <col min="33" max="33" width="8.75" customWidth="1"/>
  </cols>
  <sheetData>
    <row r="1" spans="1:32" ht="18">
      <c r="A1" s="3" t="s">
        <v>92</v>
      </c>
      <c r="C1" s="19" t="s">
        <v>99</v>
      </c>
      <c r="D1" s="48" t="s">
        <v>100</v>
      </c>
    </row>
    <row r="2" spans="1:32" ht="18">
      <c r="C2" s="19"/>
    </row>
    <row r="3" spans="1:32" ht="18">
      <c r="A3" t="s">
        <v>106</v>
      </c>
      <c r="C3" s="19"/>
      <c r="J3" s="49">
        <f>1</f>
        <v>1</v>
      </c>
      <c r="K3" s="49">
        <f>201-33</f>
        <v>168</v>
      </c>
      <c r="L3" s="49">
        <f>K3/14</f>
        <v>12</v>
      </c>
    </row>
    <row r="4" spans="1:32" ht="18">
      <c r="C4" s="19"/>
    </row>
    <row r="5" spans="1:32" ht="15">
      <c r="A5" s="1" t="s">
        <v>0</v>
      </c>
      <c r="B5" s="85"/>
      <c r="C5" s="20"/>
      <c r="J5" s="50"/>
      <c r="K5" s="50"/>
      <c r="M5" s="51"/>
      <c r="N5" s="52"/>
      <c r="O5" s="52"/>
      <c r="R5" s="1" t="s">
        <v>1</v>
      </c>
      <c r="S5" s="73"/>
      <c r="T5" s="73"/>
    </row>
    <row r="6" spans="1:32" s="30" customFormat="1" ht="15" customHeight="1">
      <c r="A6" s="23"/>
      <c r="B6" s="35"/>
      <c r="C6" s="24"/>
      <c r="D6" s="53"/>
      <c r="E6" s="54"/>
      <c r="F6" s="49"/>
      <c r="G6" s="53"/>
      <c r="H6" s="53"/>
      <c r="I6" s="54"/>
      <c r="J6" s="53"/>
      <c r="K6" s="53"/>
      <c r="L6" s="53"/>
      <c r="M6" s="54"/>
      <c r="N6" s="53"/>
      <c r="O6" s="53"/>
      <c r="Q6" s="31"/>
      <c r="R6" s="23"/>
      <c r="S6" s="35"/>
      <c r="T6" s="53"/>
      <c r="U6" s="74"/>
      <c r="V6" s="75"/>
      <c r="W6" s="74"/>
      <c r="X6" s="74"/>
      <c r="Y6" s="74"/>
      <c r="Z6" s="75"/>
      <c r="AA6" s="74"/>
      <c r="AB6" s="74"/>
      <c r="AC6" s="74"/>
      <c r="AD6" s="75"/>
      <c r="AE6" s="74"/>
      <c r="AF6" s="49"/>
    </row>
    <row r="7" spans="1:32" s="30" customFormat="1" ht="15" hidden="1" customHeight="1">
      <c r="A7" s="36" t="s">
        <v>66</v>
      </c>
      <c r="B7" s="35"/>
      <c r="C7" s="24"/>
      <c r="D7" s="53"/>
      <c r="E7" s="54"/>
      <c r="F7" s="49"/>
      <c r="G7" s="53"/>
      <c r="H7" s="53"/>
      <c r="I7" s="54"/>
      <c r="J7" s="53"/>
      <c r="K7" s="53"/>
      <c r="L7" s="53"/>
      <c r="M7" s="54"/>
      <c r="N7" s="53"/>
      <c r="O7" s="53"/>
      <c r="Q7" s="31"/>
      <c r="R7" s="23"/>
      <c r="S7" s="35"/>
      <c r="T7" s="53"/>
      <c r="U7" s="74"/>
      <c r="V7" s="75"/>
      <c r="W7" s="74"/>
      <c r="X7" s="74"/>
      <c r="Y7" s="74"/>
      <c r="Z7" s="75"/>
      <c r="AA7" s="74"/>
      <c r="AB7" s="74"/>
      <c r="AC7" s="74"/>
      <c r="AD7" s="75"/>
      <c r="AE7" s="74"/>
      <c r="AF7" s="49"/>
    </row>
    <row r="8" spans="1:32" s="30" customFormat="1" ht="15" hidden="1" customHeight="1">
      <c r="A8" s="23"/>
      <c r="B8" s="35"/>
      <c r="C8" s="24"/>
      <c r="D8" s="53"/>
      <c r="E8" s="54"/>
      <c r="F8" s="49"/>
      <c r="G8" s="53"/>
      <c r="H8" s="53"/>
      <c r="I8" s="54"/>
      <c r="J8" s="53"/>
      <c r="K8" s="53"/>
      <c r="L8" s="53"/>
      <c r="M8" s="54"/>
      <c r="N8" s="53"/>
      <c r="O8" s="53"/>
      <c r="Q8" s="31"/>
      <c r="R8" s="23"/>
      <c r="S8" s="35"/>
      <c r="T8" s="53"/>
      <c r="U8" s="74"/>
      <c r="V8" s="75"/>
      <c r="W8" s="74"/>
      <c r="X8" s="74"/>
      <c r="Y8" s="74"/>
      <c r="Z8" s="75"/>
      <c r="AA8" s="74"/>
      <c r="AB8" s="74"/>
      <c r="AC8" s="74"/>
      <c r="AD8" s="75"/>
      <c r="AE8" s="74"/>
      <c r="AF8" s="49"/>
    </row>
    <row r="9" spans="1:32" s="30" customFormat="1" ht="15" hidden="1" customHeight="1">
      <c r="A9" s="23"/>
      <c r="B9" s="35"/>
      <c r="C9" s="24"/>
      <c r="D9" s="53"/>
      <c r="E9" s="54"/>
      <c r="F9" s="49"/>
      <c r="G9" s="53"/>
      <c r="H9" s="53"/>
      <c r="I9" s="54"/>
      <c r="J9" s="53"/>
      <c r="K9" s="53"/>
      <c r="L9" s="53"/>
      <c r="M9" s="54"/>
      <c r="N9" s="53"/>
      <c r="O9" s="53"/>
      <c r="Q9" s="31"/>
      <c r="R9" s="23"/>
      <c r="S9" s="35"/>
      <c r="T9" s="53"/>
      <c r="U9" s="74"/>
      <c r="V9" s="75"/>
      <c r="W9" s="74"/>
      <c r="X9" s="74"/>
      <c r="Y9" s="74"/>
      <c r="Z9" s="75"/>
      <c r="AA9" s="74"/>
      <c r="AB9" s="74"/>
      <c r="AC9" s="74"/>
      <c r="AD9" s="75"/>
      <c r="AE9" s="74"/>
      <c r="AF9" s="49"/>
    </row>
    <row r="10" spans="1:32" s="30" customFormat="1" ht="15" hidden="1" customHeight="1">
      <c r="A10" s="23"/>
      <c r="B10" s="35"/>
      <c r="C10" s="24"/>
      <c r="D10" s="53"/>
      <c r="E10" s="54"/>
      <c r="F10" s="49"/>
      <c r="G10" s="53"/>
      <c r="H10" s="53"/>
      <c r="I10" s="54"/>
      <c r="J10" s="53"/>
      <c r="K10" s="53"/>
      <c r="L10" s="53"/>
      <c r="M10" s="54"/>
      <c r="N10" s="53"/>
      <c r="O10" s="53"/>
      <c r="Q10" s="31"/>
      <c r="R10" s="23"/>
      <c r="S10" s="35"/>
      <c r="T10" s="53"/>
      <c r="U10" s="74"/>
      <c r="V10" s="75"/>
      <c r="W10" s="74"/>
      <c r="X10" s="74"/>
      <c r="Y10" s="74"/>
      <c r="Z10" s="75"/>
      <c r="AA10" s="74"/>
      <c r="AB10" s="74"/>
      <c r="AC10" s="74"/>
      <c r="AD10" s="75"/>
      <c r="AE10" s="74"/>
      <c r="AF10" s="49"/>
    </row>
    <row r="11" spans="1:32" s="30" customFormat="1" ht="15" hidden="1" customHeight="1">
      <c r="A11" s="23"/>
      <c r="B11" s="35"/>
      <c r="C11" s="24"/>
      <c r="D11" s="53"/>
      <c r="E11" s="54"/>
      <c r="F11" s="49"/>
      <c r="G11" s="53"/>
      <c r="H11" s="53"/>
      <c r="I11" s="54"/>
      <c r="J11" s="53"/>
      <c r="K11" s="53"/>
      <c r="L11" s="53"/>
      <c r="M11" s="54"/>
      <c r="N11" s="53"/>
      <c r="O11" s="53"/>
      <c r="Q11" s="31"/>
      <c r="R11" s="23"/>
      <c r="S11" s="35"/>
      <c r="T11" s="53"/>
      <c r="U11" s="74"/>
      <c r="V11" s="75"/>
      <c r="W11" s="74"/>
      <c r="X11" s="74"/>
      <c r="Y11" s="74"/>
      <c r="Z11" s="75"/>
      <c r="AA11" s="74"/>
      <c r="AB11" s="74"/>
      <c r="AC11" s="74"/>
      <c r="AD11" s="75"/>
      <c r="AE11" s="74"/>
      <c r="AF11" s="49"/>
    </row>
    <row r="12" spans="1:32" s="30" customFormat="1" ht="15" hidden="1" customHeight="1">
      <c r="A12" s="23"/>
      <c r="B12" s="35"/>
      <c r="C12" s="24"/>
      <c r="D12" s="53"/>
      <c r="E12" s="54"/>
      <c r="F12" s="49"/>
      <c r="G12" s="53"/>
      <c r="H12" s="53"/>
      <c r="I12" s="54"/>
      <c r="J12" s="53"/>
      <c r="K12" s="53"/>
      <c r="L12" s="53"/>
      <c r="M12" s="54"/>
      <c r="N12" s="53"/>
      <c r="O12" s="53"/>
      <c r="Q12" s="31"/>
      <c r="R12" s="23"/>
      <c r="S12" s="35"/>
      <c r="T12" s="53"/>
      <c r="U12" s="74"/>
      <c r="V12" s="75"/>
      <c r="W12" s="74"/>
      <c r="X12" s="74"/>
      <c r="Y12" s="74"/>
      <c r="Z12" s="75"/>
      <c r="AA12" s="74"/>
      <c r="AB12" s="74"/>
      <c r="AC12" s="74"/>
      <c r="AD12" s="75"/>
      <c r="AE12" s="74"/>
      <c r="AF12" s="49"/>
    </row>
    <row r="13" spans="1:32" s="30" customFormat="1" ht="15" hidden="1" customHeight="1">
      <c r="A13" s="23"/>
      <c r="B13" s="35"/>
      <c r="C13" s="24"/>
      <c r="D13" s="53"/>
      <c r="E13" s="54"/>
      <c r="F13" s="49"/>
      <c r="G13" s="53"/>
      <c r="H13" s="53"/>
      <c r="I13" s="54"/>
      <c r="J13" s="53"/>
      <c r="K13" s="53"/>
      <c r="L13" s="53"/>
      <c r="M13" s="54"/>
      <c r="N13" s="53"/>
      <c r="O13" s="53"/>
      <c r="Q13" s="31"/>
      <c r="R13" s="23"/>
      <c r="S13" s="35"/>
      <c r="T13" s="53"/>
      <c r="U13" s="74"/>
      <c r="V13" s="75"/>
      <c r="W13" s="74"/>
      <c r="X13" s="74"/>
      <c r="Y13" s="74"/>
      <c r="Z13" s="75"/>
      <c r="AA13" s="74"/>
      <c r="AB13" s="74"/>
      <c r="AC13" s="74"/>
      <c r="AD13" s="75"/>
      <c r="AE13" s="74"/>
      <c r="AF13" s="49"/>
    </row>
    <row r="14" spans="1:32" s="30" customFormat="1" ht="15" hidden="1" customHeight="1">
      <c r="A14" s="23"/>
      <c r="B14" s="35"/>
      <c r="C14" s="24"/>
      <c r="D14" s="53"/>
      <c r="E14" s="54"/>
      <c r="F14" s="49"/>
      <c r="G14" s="53"/>
      <c r="H14" s="53"/>
      <c r="I14" s="54"/>
      <c r="J14" s="53"/>
      <c r="K14" s="53"/>
      <c r="L14" s="53"/>
      <c r="M14" s="54"/>
      <c r="N14" s="53"/>
      <c r="O14" s="53"/>
      <c r="Q14" s="31"/>
      <c r="R14" s="23"/>
      <c r="S14" s="35"/>
      <c r="T14" s="53"/>
      <c r="U14" s="74"/>
      <c r="V14" s="75"/>
      <c r="W14" s="74"/>
      <c r="X14" s="74"/>
      <c r="Y14" s="74"/>
      <c r="Z14" s="75"/>
      <c r="AA14" s="74"/>
      <c r="AB14" s="74"/>
      <c r="AC14" s="74"/>
      <c r="AD14" s="75"/>
      <c r="AE14" s="74"/>
      <c r="AF14" s="49"/>
    </row>
    <row r="15" spans="1:32" s="30" customFormat="1" ht="15" hidden="1" customHeight="1">
      <c r="A15" s="23"/>
      <c r="B15" s="35"/>
      <c r="C15" s="24"/>
      <c r="D15" s="53"/>
      <c r="E15" s="54"/>
      <c r="F15" s="49"/>
      <c r="G15" s="53"/>
      <c r="H15" s="53"/>
      <c r="I15" s="54"/>
      <c r="J15" s="53"/>
      <c r="K15" s="53"/>
      <c r="L15" s="53"/>
      <c r="M15" s="54"/>
      <c r="N15" s="53"/>
      <c r="O15" s="53"/>
      <c r="Q15" s="31"/>
      <c r="R15" s="23"/>
      <c r="S15" s="35"/>
      <c r="T15" s="53"/>
      <c r="U15" s="74"/>
      <c r="V15" s="75"/>
      <c r="W15" s="74"/>
      <c r="X15" s="74"/>
      <c r="Y15" s="74"/>
      <c r="Z15" s="75"/>
      <c r="AA15" s="74"/>
      <c r="AB15" s="74"/>
      <c r="AC15" s="74"/>
      <c r="AD15" s="75"/>
      <c r="AE15" s="74"/>
      <c r="AF15" s="49"/>
    </row>
    <row r="16" spans="1:32" s="30" customFormat="1" ht="15" hidden="1" customHeight="1">
      <c r="A16" s="23"/>
      <c r="B16" s="35"/>
      <c r="C16" s="24"/>
      <c r="D16" s="53"/>
      <c r="E16" s="54"/>
      <c r="F16" s="49"/>
      <c r="G16" s="53"/>
      <c r="H16" s="53"/>
      <c r="I16" s="54"/>
      <c r="J16" s="53"/>
      <c r="K16" s="53"/>
      <c r="L16" s="53"/>
      <c r="M16" s="54"/>
      <c r="N16" s="53"/>
      <c r="O16" s="53"/>
      <c r="Q16" s="31"/>
      <c r="R16" s="23"/>
      <c r="S16" s="35"/>
      <c r="T16" s="53"/>
      <c r="U16" s="74"/>
      <c r="V16" s="75"/>
      <c r="W16" s="74"/>
      <c r="X16" s="74"/>
      <c r="Y16" s="74"/>
      <c r="Z16" s="75"/>
      <c r="AA16" s="74"/>
      <c r="AB16" s="74"/>
      <c r="AC16" s="74"/>
      <c r="AD16" s="75"/>
      <c r="AE16" s="74"/>
      <c r="AF16" s="49"/>
    </row>
    <row r="17" spans="1:32" s="30" customFormat="1" ht="15" hidden="1" customHeight="1">
      <c r="A17" s="23"/>
      <c r="B17" s="35"/>
      <c r="C17" s="24"/>
      <c r="D17" s="53"/>
      <c r="E17" s="54"/>
      <c r="F17" s="49"/>
      <c r="G17" s="53"/>
      <c r="H17" s="53"/>
      <c r="I17" s="54"/>
      <c r="J17" s="53"/>
      <c r="K17" s="53"/>
      <c r="L17" s="53"/>
      <c r="M17" s="54"/>
      <c r="N17" s="53"/>
      <c r="O17" s="53"/>
      <c r="Q17" s="31"/>
      <c r="R17" s="23"/>
      <c r="S17" s="35"/>
      <c r="T17" s="53"/>
      <c r="U17" s="74"/>
      <c r="V17" s="75"/>
      <c r="W17" s="74"/>
      <c r="X17" s="74"/>
      <c r="Y17" s="74"/>
      <c r="Z17" s="75"/>
      <c r="AA17" s="74"/>
      <c r="AB17" s="74"/>
      <c r="AC17" s="74"/>
      <c r="AD17" s="75"/>
      <c r="AE17" s="74"/>
      <c r="AF17" s="49"/>
    </row>
    <row r="18" spans="1:32" s="30" customFormat="1" ht="15" hidden="1" customHeight="1">
      <c r="A18" s="23"/>
      <c r="B18" s="35"/>
      <c r="C18" s="24"/>
      <c r="D18" s="53"/>
      <c r="E18" s="54"/>
      <c r="F18" s="49"/>
      <c r="G18" s="53"/>
      <c r="H18" s="53"/>
      <c r="I18" s="54"/>
      <c r="J18" s="53"/>
      <c r="K18" s="53"/>
      <c r="L18" s="53"/>
      <c r="M18" s="54"/>
      <c r="N18" s="53"/>
      <c r="O18" s="53"/>
      <c r="Q18" s="31"/>
      <c r="R18" s="23"/>
      <c r="S18" s="35"/>
      <c r="T18" s="53"/>
      <c r="U18" s="74"/>
      <c r="V18" s="75"/>
      <c r="W18" s="74"/>
      <c r="X18" s="74"/>
      <c r="Y18" s="74"/>
      <c r="Z18" s="75"/>
      <c r="AA18" s="74"/>
      <c r="AB18" s="74"/>
      <c r="AC18" s="74"/>
      <c r="AD18" s="75"/>
      <c r="AE18" s="74"/>
      <c r="AF18" s="49"/>
    </row>
    <row r="19" spans="1:32" s="30" customFormat="1" ht="15" hidden="1" customHeight="1">
      <c r="A19" s="23"/>
      <c r="B19" s="35"/>
      <c r="C19" s="24"/>
      <c r="D19" s="53"/>
      <c r="E19" s="54"/>
      <c r="F19" s="49"/>
      <c r="G19" s="53"/>
      <c r="H19" s="53"/>
      <c r="I19" s="54"/>
      <c r="J19" s="53"/>
      <c r="K19" s="53"/>
      <c r="L19" s="53"/>
      <c r="M19" s="54"/>
      <c r="N19" s="53"/>
      <c r="O19" s="53"/>
      <c r="Q19" s="31"/>
      <c r="R19" s="23"/>
      <c r="S19" s="35"/>
      <c r="T19" s="53"/>
      <c r="U19" s="74"/>
      <c r="V19" s="75"/>
      <c r="W19" s="74"/>
      <c r="X19" s="74"/>
      <c r="Y19" s="74"/>
      <c r="Z19" s="75"/>
      <c r="AA19" s="74"/>
      <c r="AB19" s="74"/>
      <c r="AC19" s="74"/>
      <c r="AD19" s="75"/>
      <c r="AE19" s="74"/>
      <c r="AF19" s="49"/>
    </row>
    <row r="20" spans="1:32" s="30" customFormat="1" ht="15" hidden="1" customHeight="1">
      <c r="A20" s="23"/>
      <c r="B20" s="35"/>
      <c r="C20" s="24"/>
      <c r="D20" s="53"/>
      <c r="E20" s="54"/>
      <c r="F20" s="49"/>
      <c r="G20" s="53"/>
      <c r="H20" s="53"/>
      <c r="I20" s="54"/>
      <c r="J20" s="53"/>
      <c r="K20" s="53"/>
      <c r="L20" s="53"/>
      <c r="M20" s="54"/>
      <c r="N20" s="53"/>
      <c r="O20" s="53"/>
      <c r="Q20" s="31"/>
      <c r="R20" s="23"/>
      <c r="S20" s="35"/>
      <c r="T20" s="53"/>
      <c r="U20" s="74"/>
      <c r="V20" s="75"/>
      <c r="W20" s="74"/>
      <c r="X20" s="74"/>
      <c r="Y20" s="74"/>
      <c r="Z20" s="75"/>
      <c r="AA20" s="74"/>
      <c r="AB20" s="74"/>
      <c r="AC20" s="74"/>
      <c r="AD20" s="75"/>
      <c r="AE20" s="74"/>
      <c r="AF20" s="49"/>
    </row>
    <row r="21" spans="1:32" s="30" customFormat="1" ht="15" hidden="1" customHeight="1">
      <c r="A21" s="23"/>
      <c r="B21" s="35"/>
      <c r="C21" s="24"/>
      <c r="D21" s="53"/>
      <c r="E21" s="54"/>
      <c r="F21" s="49"/>
      <c r="G21" s="53"/>
      <c r="H21" s="53"/>
      <c r="I21" s="54"/>
      <c r="J21" s="53"/>
      <c r="K21" s="53"/>
      <c r="L21" s="53"/>
      <c r="M21" s="54"/>
      <c r="N21" s="53"/>
      <c r="O21" s="53"/>
      <c r="Q21" s="31"/>
      <c r="R21" s="23"/>
      <c r="S21" s="35"/>
      <c r="T21" s="53"/>
      <c r="U21" s="74"/>
      <c r="V21" s="75"/>
      <c r="W21" s="74"/>
      <c r="X21" s="74"/>
      <c r="Y21" s="74"/>
      <c r="Z21" s="75"/>
      <c r="AA21" s="74"/>
      <c r="AB21" s="74"/>
      <c r="AC21" s="74"/>
      <c r="AD21" s="75"/>
      <c r="AE21" s="74"/>
      <c r="AF21" s="49"/>
    </row>
    <row r="22" spans="1:32" s="30" customFormat="1" ht="15" hidden="1" customHeight="1">
      <c r="A22" s="23"/>
      <c r="B22" s="35"/>
      <c r="C22" s="24"/>
      <c r="D22" s="53"/>
      <c r="E22" s="54"/>
      <c r="F22" s="49"/>
      <c r="G22" s="53"/>
      <c r="H22" s="53"/>
      <c r="I22" s="54"/>
      <c r="J22" s="53"/>
      <c r="K22" s="53"/>
      <c r="L22" s="53"/>
      <c r="M22" s="54"/>
      <c r="N22" s="53"/>
      <c r="O22" s="53"/>
      <c r="Q22" s="31"/>
      <c r="R22" s="23"/>
      <c r="S22" s="35"/>
      <c r="T22" s="53"/>
      <c r="U22" s="74"/>
      <c r="V22" s="75"/>
      <c r="W22" s="74"/>
      <c r="X22" s="74"/>
      <c r="Y22" s="74"/>
      <c r="Z22" s="75"/>
      <c r="AA22" s="74"/>
      <c r="AB22" s="74"/>
      <c r="AC22" s="74"/>
      <c r="AD22" s="75"/>
      <c r="AE22" s="74"/>
      <c r="AF22" s="49"/>
    </row>
    <row r="23" spans="1:32" s="30" customFormat="1" ht="15" hidden="1" customHeight="1">
      <c r="A23" s="23"/>
      <c r="B23" s="35"/>
      <c r="C23" s="24"/>
      <c r="D23" s="53"/>
      <c r="E23" s="54"/>
      <c r="F23" s="49"/>
      <c r="G23" s="53"/>
      <c r="H23" s="53"/>
      <c r="I23" s="54"/>
      <c r="J23" s="53"/>
      <c r="K23" s="53"/>
      <c r="L23" s="53"/>
      <c r="M23" s="54"/>
      <c r="N23" s="53"/>
      <c r="O23" s="53"/>
      <c r="Q23" s="31"/>
      <c r="R23" s="23"/>
      <c r="S23" s="35"/>
      <c r="T23" s="53"/>
      <c r="U23" s="74"/>
      <c r="V23" s="75"/>
      <c r="W23" s="74"/>
      <c r="X23" s="74"/>
      <c r="Y23" s="74"/>
      <c r="Z23" s="75"/>
      <c r="AA23" s="74"/>
      <c r="AB23" s="74"/>
      <c r="AC23" s="74"/>
      <c r="AD23" s="75"/>
      <c r="AE23" s="74"/>
      <c r="AF23" s="49"/>
    </row>
    <row r="24" spans="1:32" s="30" customFormat="1" ht="15" hidden="1" customHeight="1">
      <c r="A24" s="23"/>
      <c r="B24" s="35"/>
      <c r="C24" s="24"/>
      <c r="D24" s="53"/>
      <c r="E24" s="54"/>
      <c r="F24" s="49"/>
      <c r="G24" s="53"/>
      <c r="H24" s="53"/>
      <c r="I24" s="54"/>
      <c r="J24" s="53"/>
      <c r="K24" s="53"/>
      <c r="L24" s="53"/>
      <c r="M24" s="54"/>
      <c r="N24" s="53"/>
      <c r="O24" s="53"/>
      <c r="Q24" s="31"/>
      <c r="R24" s="23"/>
      <c r="S24" s="35"/>
      <c r="T24" s="53"/>
      <c r="U24" s="74"/>
      <c r="V24" s="75"/>
      <c r="W24" s="74"/>
      <c r="X24" s="74"/>
      <c r="Y24" s="74"/>
      <c r="Z24" s="75"/>
      <c r="AA24" s="74"/>
      <c r="AB24" s="74"/>
      <c r="AC24" s="74"/>
      <c r="AD24" s="75"/>
      <c r="AE24" s="74"/>
      <c r="AF24" s="49"/>
    </row>
    <row r="25" spans="1:32" s="2" customFormat="1" ht="15" hidden="1">
      <c r="A25" s="23"/>
      <c r="B25" s="35"/>
      <c r="C25" s="24"/>
      <c r="D25" s="53"/>
      <c r="E25" s="54"/>
      <c r="F25" s="53"/>
      <c r="G25" s="53"/>
      <c r="H25" s="53"/>
      <c r="I25" s="54"/>
      <c r="J25" s="53"/>
      <c r="K25" s="53"/>
      <c r="L25" s="53"/>
      <c r="M25" s="54"/>
      <c r="N25" s="53"/>
      <c r="O25" s="53"/>
      <c r="Q25" s="11"/>
      <c r="R25" s="23"/>
      <c r="S25" s="35"/>
      <c r="T25" s="53"/>
      <c r="U25" s="53"/>
      <c r="V25" s="54"/>
      <c r="W25" s="53"/>
      <c r="X25" s="53"/>
      <c r="Y25" s="53"/>
      <c r="Z25" s="54"/>
      <c r="AA25" s="53"/>
      <c r="AB25" s="53"/>
      <c r="AC25" s="53"/>
      <c r="AD25" s="54"/>
      <c r="AE25" s="53"/>
      <c r="AF25" s="53"/>
    </row>
    <row r="26" spans="1:32" s="2" customFormat="1" ht="14.25" thickBot="1">
      <c r="B26" s="52"/>
      <c r="C26" s="15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Q26" s="11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</row>
    <row r="27" spans="1:32" s="2" customFormat="1" ht="19.5" thickBot="1">
      <c r="A27" s="99" t="s">
        <v>19</v>
      </c>
      <c r="B27" s="100"/>
      <c r="C27" s="101"/>
      <c r="D27" s="102" t="s">
        <v>34</v>
      </c>
      <c r="E27" s="103"/>
      <c r="F27" s="103"/>
      <c r="G27" s="104"/>
      <c r="H27" s="105" t="s">
        <v>35</v>
      </c>
      <c r="I27" s="103"/>
      <c r="J27" s="103"/>
      <c r="K27" s="104"/>
      <c r="L27" s="105" t="s">
        <v>36</v>
      </c>
      <c r="M27" s="103"/>
      <c r="N27" s="103"/>
      <c r="O27" s="106"/>
      <c r="Q27" s="11"/>
      <c r="R27" s="99" t="s">
        <v>19</v>
      </c>
      <c r="S27" s="100"/>
      <c r="T27" s="101"/>
      <c r="U27" s="102" t="s">
        <v>34</v>
      </c>
      <c r="V27" s="103"/>
      <c r="W27" s="103"/>
      <c r="X27" s="104"/>
      <c r="Y27" s="105" t="s">
        <v>35</v>
      </c>
      <c r="Z27" s="103"/>
      <c r="AA27" s="103"/>
      <c r="AB27" s="104"/>
      <c r="AC27" s="105" t="s">
        <v>36</v>
      </c>
      <c r="AD27" s="103"/>
      <c r="AE27" s="103"/>
      <c r="AF27" s="106"/>
    </row>
    <row r="28" spans="1:32" s="2" customFormat="1" ht="15.75" thickBot="1">
      <c r="A28" s="7" t="s">
        <v>6</v>
      </c>
      <c r="B28" s="76" t="s">
        <v>7</v>
      </c>
      <c r="C28" s="8" t="s">
        <v>8</v>
      </c>
      <c r="D28" s="55" t="s">
        <v>9</v>
      </c>
      <c r="E28" s="55" t="s">
        <v>10</v>
      </c>
      <c r="F28" s="55" t="s">
        <v>11</v>
      </c>
      <c r="G28" s="55" t="s">
        <v>12</v>
      </c>
      <c r="H28" s="55" t="s">
        <v>9</v>
      </c>
      <c r="I28" s="55" t="s">
        <v>10</v>
      </c>
      <c r="J28" s="55" t="s">
        <v>11</v>
      </c>
      <c r="K28" s="55" t="s">
        <v>12</v>
      </c>
      <c r="L28" s="55" t="s">
        <v>9</v>
      </c>
      <c r="M28" s="55" t="s">
        <v>10</v>
      </c>
      <c r="N28" s="55" t="s">
        <v>11</v>
      </c>
      <c r="O28" s="55" t="s">
        <v>12</v>
      </c>
      <c r="Q28" s="11"/>
      <c r="R28" s="7" t="s">
        <v>6</v>
      </c>
      <c r="S28" s="76" t="s">
        <v>7</v>
      </c>
      <c r="T28" s="76" t="s">
        <v>8</v>
      </c>
      <c r="U28" s="55" t="s">
        <v>9</v>
      </c>
      <c r="V28" s="55" t="s">
        <v>10</v>
      </c>
      <c r="W28" s="55" t="s">
        <v>11</v>
      </c>
      <c r="X28" s="55" t="s">
        <v>12</v>
      </c>
      <c r="Y28" s="55" t="s">
        <v>9</v>
      </c>
      <c r="Z28" s="55" t="s">
        <v>10</v>
      </c>
      <c r="AA28" s="55" t="s">
        <v>11</v>
      </c>
      <c r="AB28" s="55" t="s">
        <v>12</v>
      </c>
      <c r="AC28" s="55" t="s">
        <v>9</v>
      </c>
      <c r="AD28" s="55" t="s">
        <v>10</v>
      </c>
      <c r="AE28" s="55" t="s">
        <v>11</v>
      </c>
      <c r="AF28" s="55" t="s">
        <v>12</v>
      </c>
    </row>
    <row r="29" spans="1:32" s="2" customFormat="1" ht="15.75" customHeight="1" thickBot="1">
      <c r="A29" s="107" t="s">
        <v>37</v>
      </c>
      <c r="B29" s="107" t="s">
        <v>51</v>
      </c>
      <c r="C29" s="9" t="s">
        <v>13</v>
      </c>
      <c r="D29" s="86">
        <v>136875.59066666663</v>
      </c>
      <c r="E29" s="56"/>
      <c r="F29" s="56">
        <v>-4824974.473999992</v>
      </c>
      <c r="G29" s="56">
        <v>969044.45066666603</v>
      </c>
      <c r="H29" s="56">
        <v>1812258.3363333344</v>
      </c>
      <c r="I29" s="56"/>
      <c r="J29" s="56">
        <v>4677416.4863333255</v>
      </c>
      <c r="K29" s="56">
        <v>4555096.9769999981</v>
      </c>
      <c r="L29" s="56">
        <v>1710100.6973333322</v>
      </c>
      <c r="M29" s="56"/>
      <c r="N29" s="56">
        <v>81332.707333337516</v>
      </c>
      <c r="O29" s="56">
        <v>471496.67433333397</v>
      </c>
      <c r="Q29" s="11"/>
      <c r="R29" s="107" t="s">
        <v>37</v>
      </c>
      <c r="S29" s="107" t="s">
        <v>51</v>
      </c>
      <c r="T29" s="58" t="s">
        <v>13</v>
      </c>
      <c r="U29" s="77">
        <v>2.3226676666666599E-4</v>
      </c>
      <c r="V29" s="56"/>
      <c r="W29" s="77">
        <v>-2.5123266666665645E-4</v>
      </c>
      <c r="X29" s="77">
        <v>5.7618986000000094E-3</v>
      </c>
      <c r="Y29" s="77">
        <v>6.9965716666666594E-4</v>
      </c>
      <c r="Z29" s="56"/>
      <c r="AA29" s="77">
        <v>2.4646189666666651E-3</v>
      </c>
      <c r="AB29" s="77">
        <v>1.0322423333333358E-3</v>
      </c>
      <c r="AC29" s="77">
        <v>-6.6182219999999861E-4</v>
      </c>
      <c r="AD29" s="56"/>
      <c r="AE29" s="77">
        <v>-5.4718823333333236E-4</v>
      </c>
      <c r="AF29" s="77">
        <v>-5.372882333333287E-4</v>
      </c>
    </row>
    <row r="30" spans="1:32" s="2" customFormat="1" ht="15.75" customHeight="1" thickBot="1">
      <c r="A30" s="108"/>
      <c r="B30" s="109"/>
      <c r="C30" s="9" t="s">
        <v>14</v>
      </c>
      <c r="D30" s="56">
        <v>788077.08899999782</v>
      </c>
      <c r="E30" s="56"/>
      <c r="F30" s="56">
        <v>-6246067.7311666608</v>
      </c>
      <c r="G30" s="56">
        <v>4210610.1331666708</v>
      </c>
      <c r="H30" s="56">
        <v>1202767.9969999976</v>
      </c>
      <c r="I30" s="56"/>
      <c r="J30" s="56">
        <v>7517389.9153333306</v>
      </c>
      <c r="K30" s="56">
        <v>6582421.701500006</v>
      </c>
      <c r="L30" s="56">
        <v>1372836.6151666641</v>
      </c>
      <c r="M30" s="56"/>
      <c r="N30" s="56">
        <v>-619924.96066666767</v>
      </c>
      <c r="O30" s="56">
        <v>-130822.87266665697</v>
      </c>
      <c r="Q30" s="11"/>
      <c r="R30" s="108"/>
      <c r="S30" s="109"/>
      <c r="T30" s="58" t="s">
        <v>14</v>
      </c>
      <c r="U30" s="77">
        <v>6.3127090000000136E-4</v>
      </c>
      <c r="V30" s="56"/>
      <c r="W30" s="77">
        <v>-1.726621649999982E-3</v>
      </c>
      <c r="X30" s="77">
        <v>8.0690872166666872E-3</v>
      </c>
      <c r="Y30" s="77">
        <v>2.3160099999999795E-4</v>
      </c>
      <c r="Z30" s="56"/>
      <c r="AA30" s="77">
        <v>3.9890248333333336E-3</v>
      </c>
      <c r="AB30" s="77">
        <v>1.7163635166666594E-3</v>
      </c>
      <c r="AC30" s="77">
        <v>-9.0060364999999809E-4</v>
      </c>
      <c r="AD30" s="56"/>
      <c r="AE30" s="77">
        <v>-1.893412166666629E-4</v>
      </c>
      <c r="AF30" s="77">
        <v>-4.7405886666666494E-4</v>
      </c>
    </row>
    <row r="31" spans="1:32" s="2" customFormat="1" ht="15.75" thickBot="1">
      <c r="A31" s="108"/>
      <c r="B31" s="110" t="s">
        <v>15</v>
      </c>
      <c r="C31" s="9" t="s">
        <v>13</v>
      </c>
      <c r="D31" s="57">
        <v>1.1831656815807372E-2</v>
      </c>
      <c r="E31" s="56"/>
      <c r="F31" s="57">
        <v>-7.2991563703894299E-2</v>
      </c>
      <c r="G31" s="57">
        <v>1.2476147337803001E-2</v>
      </c>
      <c r="H31" s="57">
        <v>7.0626471673592317E-2</v>
      </c>
      <c r="I31" s="56"/>
      <c r="J31" s="57">
        <v>9.4113070894078249E-2</v>
      </c>
      <c r="K31" s="57">
        <v>6.044471176229179E-2</v>
      </c>
      <c r="L31" s="57">
        <v>5.2995578332051305E-2</v>
      </c>
      <c r="M31" s="56"/>
      <c r="N31" s="57">
        <v>3.4649330034428427E-3</v>
      </c>
      <c r="O31" s="57">
        <v>8.4585775631529185E-3</v>
      </c>
      <c r="Q31" s="11"/>
      <c r="R31" s="108"/>
      <c r="S31" s="110" t="s">
        <v>15</v>
      </c>
      <c r="T31" s="58" t="s">
        <v>13</v>
      </c>
      <c r="U31" s="57">
        <v>1.6543127881393199E-2</v>
      </c>
      <c r="V31" s="56"/>
      <c r="W31" s="57">
        <v>-2.4605435050173755E-3</v>
      </c>
      <c r="X31" s="57">
        <v>0.10925007688832271</v>
      </c>
      <c r="Y31" s="57">
        <v>2.7956996084592813E-2</v>
      </c>
      <c r="Z31" s="56"/>
      <c r="AA31" s="57">
        <v>5.0110056901572338E-2</v>
      </c>
      <c r="AB31" s="57">
        <v>2.955030808248784E-2</v>
      </c>
      <c r="AC31" s="57">
        <v>-2.6469624718786115E-2</v>
      </c>
      <c r="AD31" s="56"/>
      <c r="AE31" s="57">
        <v>-2.5929361158103161E-2</v>
      </c>
      <c r="AF31" s="57">
        <v>-2.2847279755191911E-2</v>
      </c>
    </row>
    <row r="32" spans="1:32" s="2" customFormat="1" ht="15.75" thickBot="1">
      <c r="A32" s="108"/>
      <c r="B32" s="111"/>
      <c r="C32" s="9" t="s">
        <v>14</v>
      </c>
      <c r="D32" s="57">
        <v>6.0498864061973474E-2</v>
      </c>
      <c r="E32" s="56"/>
      <c r="F32" s="57">
        <v>-9.0983696010637771E-2</v>
      </c>
      <c r="G32" s="57">
        <v>5.1552145988610236E-2</v>
      </c>
      <c r="H32" s="57">
        <v>4.7772840731187691E-2</v>
      </c>
      <c r="I32" s="56"/>
      <c r="J32" s="57">
        <v>0.15668909476217904</v>
      </c>
      <c r="K32" s="57">
        <v>8.9981215560459182E-2</v>
      </c>
      <c r="L32" s="57">
        <v>4.2885164362947745E-2</v>
      </c>
      <c r="M32" s="56"/>
      <c r="N32" s="57">
        <v>-2.7702627271741494E-2</v>
      </c>
      <c r="O32" s="57">
        <v>-2.4052848081403287E-3</v>
      </c>
      <c r="Q32" s="11"/>
      <c r="R32" s="108"/>
      <c r="S32" s="111"/>
      <c r="T32" s="58" t="s">
        <v>14</v>
      </c>
      <c r="U32" s="57">
        <v>4.1240698517410287E-2</v>
      </c>
      <c r="V32" s="56"/>
      <c r="W32" s="57">
        <v>-1.726621649999982E-3</v>
      </c>
      <c r="X32" s="57">
        <v>0.14843076856224852</v>
      </c>
      <c r="Y32" s="57">
        <v>9.4080382225330914E-3</v>
      </c>
      <c r="Z32" s="56"/>
      <c r="AA32" s="57">
        <v>8.3134614365251339E-2</v>
      </c>
      <c r="AB32" s="57">
        <v>5.0077372848688913E-2</v>
      </c>
      <c r="AC32" s="57">
        <v>-3.6366268556794819E-2</v>
      </c>
      <c r="AD32" s="56"/>
      <c r="AE32" s="57">
        <v>-9.1533566361911341E-3</v>
      </c>
      <c r="AF32" s="57">
        <v>-2.0447537286707364E-2</v>
      </c>
    </row>
    <row r="33" spans="1:32" s="2" customFormat="1" ht="15.75" thickBot="1">
      <c r="A33" s="108"/>
      <c r="B33" s="110" t="s">
        <v>16</v>
      </c>
      <c r="C33" s="9" t="s">
        <v>13</v>
      </c>
      <c r="D33" s="58" t="s">
        <v>103</v>
      </c>
      <c r="E33" s="56"/>
      <c r="F33" s="58" t="s">
        <v>103</v>
      </c>
      <c r="G33" s="58" t="s">
        <v>104</v>
      </c>
      <c r="H33" s="58" t="s">
        <v>104</v>
      </c>
      <c r="I33" s="56"/>
      <c r="J33" s="58" t="s">
        <v>104</v>
      </c>
      <c r="K33" s="58" t="s">
        <v>104</v>
      </c>
      <c r="L33" s="58" t="s">
        <v>104</v>
      </c>
      <c r="M33" s="56"/>
      <c r="N33" s="58" t="s">
        <v>104</v>
      </c>
      <c r="O33" s="58" t="s">
        <v>104</v>
      </c>
      <c r="Q33" s="11"/>
      <c r="R33" s="108"/>
      <c r="S33" s="110" t="s">
        <v>16</v>
      </c>
      <c r="T33" s="58" t="s">
        <v>13</v>
      </c>
      <c r="U33" s="58" t="s">
        <v>104</v>
      </c>
      <c r="V33" s="56"/>
      <c r="W33" s="58" t="s">
        <v>103</v>
      </c>
      <c r="X33" s="58" t="s">
        <v>104</v>
      </c>
      <c r="Y33" s="58" t="s">
        <v>104</v>
      </c>
      <c r="Z33" s="56"/>
      <c r="AA33" s="58" t="s">
        <v>104</v>
      </c>
      <c r="AB33" s="58" t="s">
        <v>104</v>
      </c>
      <c r="AC33" s="58" t="s">
        <v>103</v>
      </c>
      <c r="AD33" s="56"/>
      <c r="AE33" s="58" t="s">
        <v>103</v>
      </c>
      <c r="AF33" s="58" t="s">
        <v>103</v>
      </c>
    </row>
    <row r="34" spans="1:32" s="2" customFormat="1" ht="15.75" thickBot="1">
      <c r="A34" s="108"/>
      <c r="B34" s="111"/>
      <c r="C34" s="9" t="s">
        <v>14</v>
      </c>
      <c r="D34" s="58" t="s">
        <v>104</v>
      </c>
      <c r="E34" s="56"/>
      <c r="F34" s="58" t="s">
        <v>103</v>
      </c>
      <c r="G34" s="58" t="s">
        <v>104</v>
      </c>
      <c r="H34" s="58" t="s">
        <v>104</v>
      </c>
      <c r="I34" s="56"/>
      <c r="J34" s="58" t="s">
        <v>104</v>
      </c>
      <c r="K34" s="58" t="s">
        <v>104</v>
      </c>
      <c r="L34" s="58" t="s">
        <v>104</v>
      </c>
      <c r="M34" s="56"/>
      <c r="N34" s="58" t="s">
        <v>103</v>
      </c>
      <c r="O34" s="58" t="s">
        <v>103</v>
      </c>
      <c r="Q34" s="11"/>
      <c r="R34" s="108"/>
      <c r="S34" s="111"/>
      <c r="T34" s="58" t="s">
        <v>14</v>
      </c>
      <c r="U34" s="58" t="s">
        <v>104</v>
      </c>
      <c r="V34" s="56"/>
      <c r="W34" s="58" t="s">
        <v>103</v>
      </c>
      <c r="X34" s="58" t="s">
        <v>104</v>
      </c>
      <c r="Y34" s="58" t="s">
        <v>104</v>
      </c>
      <c r="Z34" s="56"/>
      <c r="AA34" s="58" t="s">
        <v>104</v>
      </c>
      <c r="AB34" s="58" t="s">
        <v>104</v>
      </c>
      <c r="AC34" s="58" t="s">
        <v>103</v>
      </c>
      <c r="AD34" s="56"/>
      <c r="AE34" s="58" t="s">
        <v>103</v>
      </c>
      <c r="AF34" s="58" t="s">
        <v>103</v>
      </c>
    </row>
    <row r="35" spans="1:32" s="2" customFormat="1" ht="15.75" customHeight="1" thickBot="1">
      <c r="A35" s="108"/>
      <c r="B35" s="116" t="s">
        <v>63</v>
      </c>
      <c r="C35" s="18" t="s">
        <v>13</v>
      </c>
      <c r="D35" s="59" t="s">
        <v>107</v>
      </c>
      <c r="E35" s="56"/>
      <c r="F35" s="59" t="s">
        <v>105</v>
      </c>
      <c r="G35" s="59" t="s">
        <v>105</v>
      </c>
      <c r="H35" s="59" t="s">
        <v>105</v>
      </c>
      <c r="I35" s="56"/>
      <c r="J35" s="59" t="s">
        <v>105</v>
      </c>
      <c r="K35" s="59" t="s">
        <v>105</v>
      </c>
      <c r="L35" s="59" t="s">
        <v>105</v>
      </c>
      <c r="M35" s="56"/>
      <c r="N35" s="59" t="s">
        <v>105</v>
      </c>
      <c r="O35" s="59" t="s">
        <v>105</v>
      </c>
      <c r="Q35" s="11"/>
      <c r="R35" s="108"/>
      <c r="S35" s="116" t="s">
        <v>63</v>
      </c>
      <c r="T35" s="59" t="s">
        <v>13</v>
      </c>
      <c r="U35" s="59" t="s">
        <v>111</v>
      </c>
      <c r="V35" s="56"/>
      <c r="W35" s="59" t="s">
        <v>105</v>
      </c>
      <c r="X35" s="59" t="s">
        <v>107</v>
      </c>
      <c r="Y35" s="59" t="s">
        <v>105</v>
      </c>
      <c r="Z35" s="56"/>
      <c r="AA35" s="59" t="s">
        <v>107</v>
      </c>
      <c r="AB35" s="59" t="s">
        <v>107</v>
      </c>
      <c r="AC35" s="59" t="s">
        <v>107</v>
      </c>
      <c r="AD35" s="56"/>
      <c r="AE35" s="59" t="s">
        <v>105</v>
      </c>
      <c r="AF35" s="59" t="s">
        <v>105</v>
      </c>
    </row>
    <row r="36" spans="1:32" s="2" customFormat="1" ht="15.75" thickBot="1">
      <c r="A36" s="108"/>
      <c r="B36" s="117"/>
      <c r="C36" s="18" t="s">
        <v>14</v>
      </c>
      <c r="D36" s="59" t="s">
        <v>108</v>
      </c>
      <c r="E36" s="56"/>
      <c r="F36" s="59" t="s">
        <v>107</v>
      </c>
      <c r="G36" s="59" t="s">
        <v>105</v>
      </c>
      <c r="H36" s="59" t="s">
        <v>107</v>
      </c>
      <c r="I36" s="56"/>
      <c r="J36" s="59" t="s">
        <v>107</v>
      </c>
      <c r="K36" s="59" t="s">
        <v>107</v>
      </c>
      <c r="L36" s="59" t="s">
        <v>105</v>
      </c>
      <c r="M36" s="56"/>
      <c r="N36" s="59" t="s">
        <v>105</v>
      </c>
      <c r="O36" s="59" t="s">
        <v>105</v>
      </c>
      <c r="Q36" s="11"/>
      <c r="R36" s="108"/>
      <c r="S36" s="117"/>
      <c r="T36" s="59" t="s">
        <v>14</v>
      </c>
      <c r="U36" s="59" t="s">
        <v>105</v>
      </c>
      <c r="V36" s="56"/>
      <c r="W36" s="59" t="s">
        <v>105</v>
      </c>
      <c r="X36" s="59" t="s">
        <v>107</v>
      </c>
      <c r="Y36" s="59" t="s">
        <v>105</v>
      </c>
      <c r="Z36" s="56"/>
      <c r="AA36" s="59" t="s">
        <v>107</v>
      </c>
      <c r="AB36" s="59" t="s">
        <v>107</v>
      </c>
      <c r="AC36" s="59" t="s">
        <v>107</v>
      </c>
      <c r="AD36" s="56"/>
      <c r="AE36" s="59" t="s">
        <v>105</v>
      </c>
      <c r="AF36" s="59" t="s">
        <v>107</v>
      </c>
    </row>
    <row r="37" spans="1:32" s="2" customFormat="1" ht="15.75" customHeight="1" thickBot="1">
      <c r="A37" s="108"/>
      <c r="B37" s="116" t="s">
        <v>60</v>
      </c>
      <c r="C37" s="18" t="s">
        <v>13</v>
      </c>
      <c r="D37" s="60">
        <v>0.86688922255422329</v>
      </c>
      <c r="E37" s="61"/>
      <c r="F37" s="60">
        <v>0.45663690344232399</v>
      </c>
      <c r="G37" s="60">
        <v>0.87756329843388214</v>
      </c>
      <c r="H37" s="60">
        <v>0.22178119097218998</v>
      </c>
      <c r="I37" s="61"/>
      <c r="J37" s="60">
        <v>0.37670156238172281</v>
      </c>
      <c r="K37" s="60">
        <v>0.42958373591722054</v>
      </c>
      <c r="L37" s="60">
        <v>0.99415234540954678</v>
      </c>
      <c r="M37" s="61"/>
      <c r="N37" s="60">
        <v>0.72719818264111891</v>
      </c>
      <c r="O37" s="60">
        <v>0.88305960122073623</v>
      </c>
      <c r="Q37" s="11"/>
      <c r="R37" s="108"/>
      <c r="S37" s="116" t="s">
        <v>60</v>
      </c>
      <c r="T37" s="59" t="s">
        <v>13</v>
      </c>
      <c r="U37" s="60">
        <v>0.72391088836628636</v>
      </c>
      <c r="V37" s="61"/>
      <c r="W37" s="60">
        <v>0.90727835143794144</v>
      </c>
      <c r="X37" s="60">
        <v>2.1944761256333104E-2</v>
      </c>
      <c r="Y37" s="60">
        <v>0.56208286863312473</v>
      </c>
      <c r="Z37" s="61"/>
      <c r="AA37" s="49">
        <v>0.10757978761399101</v>
      </c>
      <c r="AB37" s="60">
        <v>2.0447398117133513E-3</v>
      </c>
      <c r="AC37" s="60">
        <v>0.16472619416009271</v>
      </c>
      <c r="AD37" s="61"/>
      <c r="AE37" s="60">
        <v>0.50803998878012757</v>
      </c>
      <c r="AF37" s="60">
        <v>0.27712271151131096</v>
      </c>
    </row>
    <row r="38" spans="1:32" s="2" customFormat="1" ht="15" customHeight="1" thickBot="1">
      <c r="A38" s="109"/>
      <c r="B38" s="117"/>
      <c r="C38" s="18" t="s">
        <v>14</v>
      </c>
      <c r="D38" s="60">
        <v>0.37022630017251479</v>
      </c>
      <c r="E38" s="61"/>
      <c r="F38" s="62">
        <v>0.18806748915418625</v>
      </c>
      <c r="G38" s="60">
        <v>0.35387196523520148</v>
      </c>
      <c r="H38" s="62">
        <v>0.1621753456843551</v>
      </c>
      <c r="I38" s="61"/>
      <c r="J38" s="60">
        <v>5.6793600383858348E-2</v>
      </c>
      <c r="K38" s="62">
        <v>0.11697656648846781</v>
      </c>
      <c r="L38" s="60">
        <v>0.44234541815558925</v>
      </c>
      <c r="M38" s="61"/>
      <c r="N38" s="60">
        <v>0.34925449631780781</v>
      </c>
      <c r="O38" s="60">
        <v>0.81536645555087728</v>
      </c>
      <c r="Q38" s="11"/>
      <c r="R38" s="109"/>
      <c r="S38" s="117"/>
      <c r="T38" s="59" t="s">
        <v>14</v>
      </c>
      <c r="U38" s="60">
        <v>0.43225972928478873</v>
      </c>
      <c r="V38" s="61"/>
      <c r="W38" s="60">
        <v>0.59959420539767239</v>
      </c>
      <c r="X38" s="60">
        <v>4.2138029183005709E-4</v>
      </c>
      <c r="Y38" s="60">
        <v>0.74366620652401916</v>
      </c>
      <c r="Z38" s="61"/>
      <c r="AA38" s="60">
        <v>5.2936200538518587E-2</v>
      </c>
      <c r="AB38" s="60">
        <v>6.9679134833276549E-3</v>
      </c>
      <c r="AC38" s="60">
        <v>1.3011311752203242E-2</v>
      </c>
      <c r="AD38" s="61"/>
      <c r="AE38" s="60">
        <v>0.76684182105691612</v>
      </c>
      <c r="AF38" s="60">
        <v>0.17520895470765085</v>
      </c>
    </row>
    <row r="39" spans="1:32" s="2" customFormat="1" ht="15">
      <c r="A39" s="23"/>
      <c r="B39" s="35"/>
      <c r="C39" s="24"/>
      <c r="D39" s="53"/>
      <c r="E39" s="54"/>
      <c r="F39" s="53"/>
      <c r="G39" s="53"/>
      <c r="H39" s="53"/>
      <c r="I39" s="54"/>
      <c r="J39" s="53"/>
      <c r="K39" s="53"/>
      <c r="L39" s="53"/>
      <c r="M39" s="54"/>
      <c r="N39" s="53"/>
      <c r="O39" s="53"/>
      <c r="Q39" s="11"/>
      <c r="R39" s="23"/>
      <c r="S39" s="35"/>
      <c r="T39" s="53"/>
      <c r="U39" s="53"/>
      <c r="V39" s="54"/>
      <c r="W39" s="53"/>
      <c r="X39" s="53"/>
      <c r="Y39" s="53"/>
      <c r="Z39" s="54"/>
      <c r="AA39" s="53"/>
      <c r="AB39" s="53"/>
      <c r="AC39" s="53"/>
      <c r="AD39" s="54"/>
      <c r="AE39" s="53"/>
      <c r="AF39" s="53"/>
    </row>
    <row r="40" spans="1:32" s="2" customFormat="1" ht="14.25" thickBot="1">
      <c r="A40" s="5"/>
      <c r="B40" s="52"/>
      <c r="C40" s="15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Q40" s="11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</row>
    <row r="41" spans="1:32" s="2" customFormat="1" ht="19.5" thickBot="1">
      <c r="A41" s="99" t="s">
        <v>19</v>
      </c>
      <c r="B41" s="100"/>
      <c r="C41" s="101"/>
      <c r="D41" s="102" t="s">
        <v>3</v>
      </c>
      <c r="E41" s="103"/>
      <c r="F41" s="103"/>
      <c r="G41" s="104"/>
      <c r="H41" s="105" t="s">
        <v>4</v>
      </c>
      <c r="I41" s="103"/>
      <c r="J41" s="103"/>
      <c r="K41" s="104"/>
      <c r="L41" s="105" t="s">
        <v>5</v>
      </c>
      <c r="M41" s="103"/>
      <c r="N41" s="103"/>
      <c r="O41" s="106"/>
      <c r="Q41" s="11"/>
      <c r="R41" s="99" t="s">
        <v>19</v>
      </c>
      <c r="S41" s="100"/>
      <c r="T41" s="101"/>
      <c r="U41" s="102" t="s">
        <v>3</v>
      </c>
      <c r="V41" s="103"/>
      <c r="W41" s="103"/>
      <c r="X41" s="104"/>
      <c r="Y41" s="102" t="s">
        <v>4</v>
      </c>
      <c r="Z41" s="103"/>
      <c r="AA41" s="103"/>
      <c r="AB41" s="104"/>
      <c r="AC41" s="102" t="s">
        <v>5</v>
      </c>
      <c r="AD41" s="103"/>
      <c r="AE41" s="103"/>
      <c r="AF41" s="104"/>
    </row>
    <row r="42" spans="1:32" s="2" customFormat="1" ht="15.75" thickBot="1">
      <c r="A42" s="7" t="s">
        <v>6</v>
      </c>
      <c r="B42" s="76" t="s">
        <v>7</v>
      </c>
      <c r="C42" s="8" t="s">
        <v>8</v>
      </c>
      <c r="D42" s="55" t="s">
        <v>9</v>
      </c>
      <c r="E42" s="55" t="s">
        <v>10</v>
      </c>
      <c r="F42" s="55" t="s">
        <v>11</v>
      </c>
      <c r="G42" s="55" t="s">
        <v>12</v>
      </c>
      <c r="H42" s="55" t="s">
        <v>9</v>
      </c>
      <c r="I42" s="55" t="s">
        <v>10</v>
      </c>
      <c r="J42" s="55" t="s">
        <v>11</v>
      </c>
      <c r="K42" s="55" t="s">
        <v>12</v>
      </c>
      <c r="L42" s="55" t="s">
        <v>9</v>
      </c>
      <c r="M42" s="55" t="s">
        <v>10</v>
      </c>
      <c r="N42" s="55" t="s">
        <v>11</v>
      </c>
      <c r="O42" s="55" t="s">
        <v>12</v>
      </c>
      <c r="Q42" s="11"/>
      <c r="R42" s="7" t="s">
        <v>6</v>
      </c>
      <c r="S42" s="76" t="s">
        <v>7</v>
      </c>
      <c r="T42" s="76" t="s">
        <v>8</v>
      </c>
      <c r="U42" s="55" t="s">
        <v>9</v>
      </c>
      <c r="V42" s="55" t="s">
        <v>10</v>
      </c>
      <c r="W42" s="55" t="s">
        <v>11</v>
      </c>
      <c r="X42" s="55" t="s">
        <v>12</v>
      </c>
      <c r="Y42" s="55" t="s">
        <v>9</v>
      </c>
      <c r="Z42" s="55" t="s">
        <v>10</v>
      </c>
      <c r="AA42" s="55" t="s">
        <v>11</v>
      </c>
      <c r="AB42" s="55" t="s">
        <v>12</v>
      </c>
      <c r="AC42" s="55" t="s">
        <v>9</v>
      </c>
      <c r="AD42" s="55" t="s">
        <v>10</v>
      </c>
      <c r="AE42" s="55" t="s">
        <v>11</v>
      </c>
      <c r="AF42" s="55" t="s">
        <v>12</v>
      </c>
    </row>
    <row r="43" spans="1:32" s="2" customFormat="1" ht="15.75" thickBot="1">
      <c r="A43" s="107" t="s">
        <v>2</v>
      </c>
      <c r="B43" s="107" t="s">
        <v>51</v>
      </c>
      <c r="C43" s="9" t="s">
        <v>13</v>
      </c>
      <c r="D43" s="56">
        <v>1096093.5345121473</v>
      </c>
      <c r="E43" s="56"/>
      <c r="F43" s="56">
        <v>3835730.584289249</v>
      </c>
      <c r="G43" s="56">
        <v>7128092.8615430649</v>
      </c>
      <c r="H43" s="56">
        <v>6946484.4807676002</v>
      </c>
      <c r="I43" s="56">
        <v>93260.145820852951</v>
      </c>
      <c r="J43" s="56">
        <v>3878655.8704095334</v>
      </c>
      <c r="K43" s="56">
        <v>10551147.253353968</v>
      </c>
      <c r="L43" s="56">
        <v>5959092.2167968899</v>
      </c>
      <c r="M43" s="56">
        <v>1252826.2289520279</v>
      </c>
      <c r="N43" s="56">
        <v>3874364.8061414361</v>
      </c>
      <c r="O43" s="56">
        <v>7448750.8887503147</v>
      </c>
      <c r="Q43" s="11"/>
      <c r="R43" s="107" t="s">
        <v>2</v>
      </c>
      <c r="S43" s="107" t="s">
        <v>51</v>
      </c>
      <c r="T43" s="58" t="s">
        <v>13</v>
      </c>
      <c r="U43" s="77">
        <v>1.8821643185398321E-3</v>
      </c>
      <c r="V43" s="56"/>
      <c r="W43" s="77">
        <v>8.6507109653618623E-3</v>
      </c>
      <c r="X43" s="77">
        <v>5.8026351381951693E-3</v>
      </c>
      <c r="Y43" s="77">
        <v>5.4969511760756679E-3</v>
      </c>
      <c r="Z43" s="77">
        <v>3.1224008988180673E-4</v>
      </c>
      <c r="AA43" s="77">
        <v>5.9279831875279632E-3</v>
      </c>
      <c r="AB43" s="77">
        <v>5.1623393762875724E-3</v>
      </c>
      <c r="AC43" s="77">
        <v>1.4038554033676126E-3</v>
      </c>
      <c r="AD43" s="77">
        <v>2.8589787168503411E-3</v>
      </c>
      <c r="AE43" s="77">
        <v>2.0891446872883246E-3</v>
      </c>
      <c r="AF43" s="77">
        <v>2.0047339521224034E-3</v>
      </c>
    </row>
    <row r="44" spans="1:32" s="2" customFormat="1" ht="15.75" thickBot="1">
      <c r="A44" s="108"/>
      <c r="B44" s="109"/>
      <c r="C44" s="9" t="s">
        <v>14</v>
      </c>
      <c r="D44" s="56">
        <v>4541913.6022431524</v>
      </c>
      <c r="E44" s="56"/>
      <c r="F44" s="56">
        <v>5573234.6629523393</v>
      </c>
      <c r="G44" s="56">
        <v>13012135.590348784</v>
      </c>
      <c r="H44" s="56">
        <v>7437211.3502592072</v>
      </c>
      <c r="I44" s="56">
        <v>106072.53226339712</v>
      </c>
      <c r="J44" s="56">
        <v>5344104.4208654836</v>
      </c>
      <c r="K44" s="56">
        <v>12542646.391685233</v>
      </c>
      <c r="L44" s="56">
        <v>4190598.5369286239</v>
      </c>
      <c r="M44" s="56">
        <v>748062.8656893298</v>
      </c>
      <c r="N44" s="56">
        <v>3332378.2653421015</v>
      </c>
      <c r="O44" s="56">
        <v>6175714.4523691833</v>
      </c>
      <c r="Q44" s="11"/>
      <c r="R44" s="108"/>
      <c r="S44" s="109"/>
      <c r="T44" s="58" t="s">
        <v>14</v>
      </c>
      <c r="U44" s="77">
        <v>6.9555488057638174E-3</v>
      </c>
      <c r="V44" s="56"/>
      <c r="W44" s="77">
        <v>1.2169204838907648E-2</v>
      </c>
      <c r="X44" s="77">
        <v>9.7013420348973974E-3</v>
      </c>
      <c r="Y44" s="77">
        <v>6.5573962203273883E-3</v>
      </c>
      <c r="Z44" s="77">
        <v>3.4532203783685985E-4</v>
      </c>
      <c r="AA44" s="77">
        <v>6.4657920233519017E-3</v>
      </c>
      <c r="AB44" s="77">
        <v>6.1146189423494368E-3</v>
      </c>
      <c r="AC44" s="77">
        <v>1.9092009381438124E-3</v>
      </c>
      <c r="AD44" s="77">
        <v>-1.9313618766390039E-3</v>
      </c>
      <c r="AE44" s="77">
        <v>8.9163119178665984E-4</v>
      </c>
      <c r="AF44" s="77">
        <v>1.2904782432252015E-3</v>
      </c>
    </row>
    <row r="45" spans="1:32" s="2" customFormat="1" ht="15.75" thickBot="1">
      <c r="A45" s="108"/>
      <c r="B45" s="110" t="s">
        <v>15</v>
      </c>
      <c r="C45" s="9" t="s">
        <v>13</v>
      </c>
      <c r="D45" s="57">
        <v>0.14093252871797152</v>
      </c>
      <c r="E45" s="57"/>
      <c r="F45" s="57">
        <v>0.26895520003411838</v>
      </c>
      <c r="G45" s="57">
        <v>0.32343040643360998</v>
      </c>
      <c r="H45" s="57">
        <v>0.16836387485355273</v>
      </c>
      <c r="I45" s="57">
        <v>0.22508482498999105</v>
      </c>
      <c r="J45" s="57">
        <v>0.10092694677379907</v>
      </c>
      <c r="K45" s="57">
        <v>0.13171905756228452</v>
      </c>
      <c r="L45" s="57">
        <v>6.8881463906889817E-2</v>
      </c>
      <c r="M45" s="57">
        <v>2.736798838760663E-2</v>
      </c>
      <c r="N45" s="57">
        <v>5.1266953093056677E-2</v>
      </c>
      <c r="O45" s="57">
        <v>3.5835128230643477E-2</v>
      </c>
      <c r="Q45" s="11"/>
      <c r="R45" s="108"/>
      <c r="S45" s="110" t="s">
        <v>15</v>
      </c>
      <c r="T45" s="58" t="s">
        <v>13</v>
      </c>
      <c r="U45" s="57">
        <v>0.14042860155938133</v>
      </c>
      <c r="V45" s="57"/>
      <c r="W45" s="57">
        <v>0.3144253503877133</v>
      </c>
      <c r="X45" s="57">
        <v>0.33045115823472393</v>
      </c>
      <c r="Y45" s="57">
        <v>0.10800668041696351</v>
      </c>
      <c r="Z45" s="57">
        <v>0.14468005782019697</v>
      </c>
      <c r="AA45" s="57">
        <v>8.5174665632317209E-2</v>
      </c>
      <c r="AB45" s="57">
        <v>0.1002398036365464</v>
      </c>
      <c r="AC45" s="57">
        <v>1.7327819268072354E-2</v>
      </c>
      <c r="AD45" s="57">
        <v>1.5362798899838583E-2</v>
      </c>
      <c r="AE45" s="57">
        <v>1.9423756879755154E-2</v>
      </c>
      <c r="AF45" s="57">
        <v>1.9440384584486801E-2</v>
      </c>
    </row>
    <row r="46" spans="1:32" s="2" customFormat="1" ht="15.75" thickBot="1">
      <c r="A46" s="108"/>
      <c r="B46" s="111"/>
      <c r="C46" s="9" t="s">
        <v>14</v>
      </c>
      <c r="D46" s="57">
        <v>0.37530974610386886</v>
      </c>
      <c r="E46" s="57"/>
      <c r="F46" s="57">
        <v>0.31000694911525972</v>
      </c>
      <c r="G46" s="57">
        <v>0.43259080964047708</v>
      </c>
      <c r="H46" s="57">
        <v>0.17394714739718323</v>
      </c>
      <c r="I46" s="57">
        <v>0.22586244360152699</v>
      </c>
      <c r="J46" s="57">
        <v>0.13128761598890473</v>
      </c>
      <c r="K46" s="57">
        <v>0.14944080234103638</v>
      </c>
      <c r="L46" s="57">
        <v>4.7917755248508338E-2</v>
      </c>
      <c r="M46" s="63">
        <v>1.5742980245538912E-2</v>
      </c>
      <c r="N46" s="57">
        <v>4.3390234651009343E-2</v>
      </c>
      <c r="O46" s="57">
        <v>2.9162173350113108E-2</v>
      </c>
      <c r="Q46" s="11"/>
      <c r="R46" s="108"/>
      <c r="S46" s="111"/>
      <c r="T46" s="58" t="s">
        <v>14</v>
      </c>
      <c r="U46" s="57">
        <v>0.34904765187770059</v>
      </c>
      <c r="V46" s="57"/>
      <c r="W46" s="57">
        <v>0.35561763350893788</v>
      </c>
      <c r="X46" s="57">
        <v>0.41947090888050786</v>
      </c>
      <c r="Y46" s="57">
        <v>0.12352722666889752</v>
      </c>
      <c r="Z46" s="57">
        <v>0.14148788667610251</v>
      </c>
      <c r="AA46" s="57">
        <v>9.0225687600402227E-2</v>
      </c>
      <c r="AB46" s="57">
        <v>0.11415125638584141</v>
      </c>
      <c r="AC46" s="57">
        <v>2.310741512753928E-2</v>
      </c>
      <c r="AD46" s="63">
        <v>-1.0114568414404014E-2</v>
      </c>
      <c r="AE46" s="57">
        <v>8.2544220522039469E-3</v>
      </c>
      <c r="AF46" s="57">
        <v>1.2292170822929228E-2</v>
      </c>
    </row>
    <row r="47" spans="1:32" s="2" customFormat="1" ht="15.75" thickBot="1">
      <c r="A47" s="108"/>
      <c r="B47" s="110" t="s">
        <v>16</v>
      </c>
      <c r="C47" s="9" t="s">
        <v>13</v>
      </c>
      <c r="D47" s="58" t="s">
        <v>104</v>
      </c>
      <c r="E47" s="58"/>
      <c r="F47" s="58" t="s">
        <v>104</v>
      </c>
      <c r="G47" s="58" t="s">
        <v>104</v>
      </c>
      <c r="H47" s="58" t="s">
        <v>104</v>
      </c>
      <c r="I47" s="58" t="s">
        <v>104</v>
      </c>
      <c r="J47" s="58" t="s">
        <v>104</v>
      </c>
      <c r="K47" s="58" t="s">
        <v>104</v>
      </c>
      <c r="L47" s="58" t="s">
        <v>104</v>
      </c>
      <c r="M47" s="58" t="s">
        <v>104</v>
      </c>
      <c r="N47" s="58" t="s">
        <v>104</v>
      </c>
      <c r="O47" s="58" t="s">
        <v>104</v>
      </c>
      <c r="Q47" s="11"/>
      <c r="R47" s="108"/>
      <c r="S47" s="110" t="s">
        <v>16</v>
      </c>
      <c r="T47" s="58" t="s">
        <v>13</v>
      </c>
      <c r="U47" s="58" t="s">
        <v>104</v>
      </c>
      <c r="V47" s="58"/>
      <c r="W47" s="58" t="s">
        <v>104</v>
      </c>
      <c r="X47" s="58" t="s">
        <v>104</v>
      </c>
      <c r="Y47" s="58" t="s">
        <v>104</v>
      </c>
      <c r="Z47" s="58" t="s">
        <v>104</v>
      </c>
      <c r="AA47" s="58" t="s">
        <v>104</v>
      </c>
      <c r="AB47" s="58" t="s">
        <v>104</v>
      </c>
      <c r="AC47" s="58" t="s">
        <v>104</v>
      </c>
      <c r="AD47" s="58" t="s">
        <v>104</v>
      </c>
      <c r="AE47" s="58" t="s">
        <v>104</v>
      </c>
      <c r="AF47" s="58" t="s">
        <v>104</v>
      </c>
    </row>
    <row r="48" spans="1:32" s="2" customFormat="1" ht="15.75" thickBot="1">
      <c r="A48" s="108"/>
      <c r="B48" s="111"/>
      <c r="C48" s="9" t="s">
        <v>14</v>
      </c>
      <c r="D48" s="58" t="s">
        <v>104</v>
      </c>
      <c r="E48" s="58"/>
      <c r="F48" s="58" t="s">
        <v>104</v>
      </c>
      <c r="G48" s="58" t="s">
        <v>104</v>
      </c>
      <c r="H48" s="58" t="s">
        <v>104</v>
      </c>
      <c r="I48" s="58" t="s">
        <v>104</v>
      </c>
      <c r="J48" s="58" t="s">
        <v>104</v>
      </c>
      <c r="K48" s="58" t="s">
        <v>104</v>
      </c>
      <c r="L48" s="58" t="s">
        <v>104</v>
      </c>
      <c r="M48" s="58" t="s">
        <v>104</v>
      </c>
      <c r="N48" s="58" t="s">
        <v>104</v>
      </c>
      <c r="O48" s="58" t="s">
        <v>104</v>
      </c>
      <c r="Q48" s="11"/>
      <c r="R48" s="108"/>
      <c r="S48" s="111"/>
      <c r="T48" s="58" t="s">
        <v>14</v>
      </c>
      <c r="U48" s="58" t="s">
        <v>104</v>
      </c>
      <c r="V48" s="58"/>
      <c r="W48" s="58" t="s">
        <v>104</v>
      </c>
      <c r="X48" s="58" t="s">
        <v>104</v>
      </c>
      <c r="Y48" s="58" t="s">
        <v>104</v>
      </c>
      <c r="Z48" s="58" t="s">
        <v>104</v>
      </c>
      <c r="AA48" s="58" t="s">
        <v>104</v>
      </c>
      <c r="AB48" s="58" t="s">
        <v>104</v>
      </c>
      <c r="AC48" s="58" t="s">
        <v>104</v>
      </c>
      <c r="AD48" s="58" t="s">
        <v>103</v>
      </c>
      <c r="AE48" s="58" t="s">
        <v>104</v>
      </c>
      <c r="AF48" s="58" t="s">
        <v>104</v>
      </c>
    </row>
    <row r="49" spans="1:32" s="2" customFormat="1" ht="15.75" customHeight="1" thickBot="1">
      <c r="A49" s="108"/>
      <c r="B49" s="112" t="s">
        <v>63</v>
      </c>
      <c r="C49" s="16" t="s">
        <v>13</v>
      </c>
      <c r="D49" s="64" t="s">
        <v>105</v>
      </c>
      <c r="E49" s="64"/>
      <c r="F49" s="64" t="s">
        <v>107</v>
      </c>
      <c r="G49" s="64" t="s">
        <v>107</v>
      </c>
      <c r="H49" s="64" t="s">
        <v>107</v>
      </c>
      <c r="I49" s="64" t="s">
        <v>105</v>
      </c>
      <c r="J49" s="64" t="s">
        <v>107</v>
      </c>
      <c r="K49" s="64" t="s">
        <v>107</v>
      </c>
      <c r="L49" s="64" t="s">
        <v>107</v>
      </c>
      <c r="M49" s="64" t="s">
        <v>105</v>
      </c>
      <c r="N49" s="64" t="s">
        <v>105</v>
      </c>
      <c r="O49" s="64" t="s">
        <v>107</v>
      </c>
      <c r="Q49" s="11"/>
      <c r="R49" s="108"/>
      <c r="S49" s="112" t="s">
        <v>63</v>
      </c>
      <c r="T49" s="64" t="s">
        <v>13</v>
      </c>
      <c r="U49" s="64" t="s">
        <v>105</v>
      </c>
      <c r="V49" s="64"/>
      <c r="W49" s="64" t="s">
        <v>107</v>
      </c>
      <c r="X49" s="64" t="s">
        <v>107</v>
      </c>
      <c r="Y49" s="64" t="s">
        <v>107</v>
      </c>
      <c r="Z49" s="64" t="s">
        <v>105</v>
      </c>
      <c r="AA49" s="64" t="s">
        <v>107</v>
      </c>
      <c r="AB49" s="64" t="s">
        <v>107</v>
      </c>
      <c r="AC49" s="64" t="s">
        <v>107</v>
      </c>
      <c r="AD49" s="64" t="s">
        <v>105</v>
      </c>
      <c r="AE49" s="64" t="s">
        <v>107</v>
      </c>
      <c r="AF49" s="64" t="s">
        <v>105</v>
      </c>
    </row>
    <row r="50" spans="1:32" ht="15.75" thickBot="1">
      <c r="A50" s="108"/>
      <c r="B50" s="112"/>
      <c r="C50" s="16" t="s">
        <v>14</v>
      </c>
      <c r="D50" s="64" t="s">
        <v>108</v>
      </c>
      <c r="E50" s="64"/>
      <c r="F50" s="64" t="s">
        <v>107</v>
      </c>
      <c r="G50" s="64" t="s">
        <v>107</v>
      </c>
      <c r="H50" s="64" t="s">
        <v>107</v>
      </c>
      <c r="I50" s="64" t="s">
        <v>107</v>
      </c>
      <c r="J50" s="64" t="s">
        <v>107</v>
      </c>
      <c r="K50" s="64" t="s">
        <v>107</v>
      </c>
      <c r="L50" s="64" t="s">
        <v>107</v>
      </c>
      <c r="M50" s="64" t="s">
        <v>105</v>
      </c>
      <c r="N50" s="64" t="s">
        <v>105</v>
      </c>
      <c r="O50" s="64" t="s">
        <v>105</v>
      </c>
      <c r="Q50" s="12"/>
      <c r="R50" s="108"/>
      <c r="S50" s="112"/>
      <c r="T50" s="64" t="s">
        <v>14</v>
      </c>
      <c r="U50" s="64" t="s">
        <v>107</v>
      </c>
      <c r="V50" s="64"/>
      <c r="W50" s="64" t="s">
        <v>107</v>
      </c>
      <c r="X50" s="64" t="s">
        <v>107</v>
      </c>
      <c r="Y50" s="64" t="s">
        <v>107</v>
      </c>
      <c r="Z50" s="64" t="s">
        <v>107</v>
      </c>
      <c r="AA50" s="64" t="s">
        <v>107</v>
      </c>
      <c r="AB50" s="64" t="s">
        <v>107</v>
      </c>
      <c r="AC50" s="64" t="s">
        <v>107</v>
      </c>
      <c r="AD50" s="64" t="s">
        <v>105</v>
      </c>
      <c r="AE50" s="64" t="s">
        <v>105</v>
      </c>
      <c r="AF50" s="64" t="s">
        <v>105</v>
      </c>
    </row>
    <row r="51" spans="1:32" ht="15" customHeight="1" thickBot="1">
      <c r="A51" s="108"/>
      <c r="B51" s="112" t="s">
        <v>60</v>
      </c>
      <c r="C51" s="16" t="s">
        <v>13</v>
      </c>
      <c r="D51" s="64">
        <v>0.4959953983979829</v>
      </c>
      <c r="E51" s="56"/>
      <c r="F51" s="64">
        <v>0.23439729203015047</v>
      </c>
      <c r="G51" s="49">
        <v>0.15933085428942315</v>
      </c>
      <c r="H51" s="64">
        <v>1.4881293330839429E-2</v>
      </c>
      <c r="I51" s="64">
        <v>0.26845051668089592</v>
      </c>
      <c r="J51" s="64">
        <v>0.21629789638303071</v>
      </c>
      <c r="K51" s="64">
        <v>2.588079171759692E-2</v>
      </c>
      <c r="L51" s="65">
        <v>1.8215178494037434E-2</v>
      </c>
      <c r="M51" s="65">
        <v>0.71015134336186547</v>
      </c>
      <c r="N51" s="65">
        <v>0.50346879142571843</v>
      </c>
      <c r="O51" s="64">
        <v>0.19558131501488274</v>
      </c>
      <c r="Q51" s="12"/>
      <c r="R51" s="108"/>
      <c r="S51" s="112" t="s">
        <v>60</v>
      </c>
      <c r="T51" s="64" t="s">
        <v>13</v>
      </c>
      <c r="U51" s="64">
        <v>0.36050625806108683</v>
      </c>
      <c r="V51" s="78"/>
      <c r="W51" s="64">
        <v>5.8699281318084585E-2</v>
      </c>
      <c r="X51" s="64">
        <v>5.7428096723406194E-2</v>
      </c>
      <c r="Y51" s="64">
        <v>1.4499280384367744E-2</v>
      </c>
      <c r="Z51" s="64">
        <v>0.43820601611893928</v>
      </c>
      <c r="AA51" s="64">
        <v>4.9499499480360323E-2</v>
      </c>
      <c r="AB51" s="64">
        <v>1.2392039056741085E-2</v>
      </c>
      <c r="AC51" s="64">
        <v>3.204892431021715E-2</v>
      </c>
      <c r="AD51" s="64">
        <v>0.85559748249382972</v>
      </c>
      <c r="AE51" s="64">
        <v>8.6186677855759564E-2</v>
      </c>
      <c r="AF51" s="64">
        <v>0.43249842819287654</v>
      </c>
    </row>
    <row r="52" spans="1:32" ht="15" customHeight="1" thickBot="1">
      <c r="A52" s="109"/>
      <c r="B52" s="112"/>
      <c r="C52" s="16" t="s">
        <v>14</v>
      </c>
      <c r="D52" s="64">
        <v>6.0725949309680748E-2</v>
      </c>
      <c r="E52" s="56"/>
      <c r="F52" s="64">
        <v>6.016736155048711E-2</v>
      </c>
      <c r="G52" s="64">
        <v>1.7151233202331011E-2</v>
      </c>
      <c r="H52" s="64">
        <v>6.4953732543657122E-5</v>
      </c>
      <c r="I52" s="64">
        <v>4.9725243508616471E-2</v>
      </c>
      <c r="J52" s="64">
        <v>2.9019610974443798E-2</v>
      </c>
      <c r="K52" s="64">
        <v>8.5081620792690617E-4</v>
      </c>
      <c r="L52" s="62">
        <v>0.12648348447618174</v>
      </c>
      <c r="M52" s="65">
        <v>0.74568277570053976</v>
      </c>
      <c r="N52" s="65">
        <v>0.41651785869128455</v>
      </c>
      <c r="O52" s="65">
        <v>0.28381235693164875</v>
      </c>
      <c r="Q52" s="12"/>
      <c r="R52" s="109"/>
      <c r="S52" s="112"/>
      <c r="T52" s="64" t="s">
        <v>14</v>
      </c>
      <c r="U52" s="64">
        <v>5.3612048752540234E-2</v>
      </c>
      <c r="V52" s="78"/>
      <c r="W52" s="64">
        <v>1.0020502582681676E-2</v>
      </c>
      <c r="X52" s="64">
        <v>7.8493885632939069E-3</v>
      </c>
      <c r="Y52" s="64">
        <v>4.4491144002416173E-4</v>
      </c>
      <c r="Z52" s="62">
        <v>0.18562426692291345</v>
      </c>
      <c r="AA52" s="64">
        <v>4.3220044774511437E-3</v>
      </c>
      <c r="AB52" s="64">
        <v>4.9030251725038843E-4</v>
      </c>
      <c r="AC52" s="64">
        <v>7.1928633973042916E-2</v>
      </c>
      <c r="AD52" s="64">
        <v>0.83037705395496664</v>
      </c>
      <c r="AE52" s="64">
        <v>0.3563150027814127</v>
      </c>
      <c r="AF52" s="64">
        <v>0.50730976331475519</v>
      </c>
    </row>
    <row r="53" spans="1:32" ht="15" customHeight="1">
      <c r="A53" s="35"/>
      <c r="B53" s="23"/>
      <c r="C53" s="27"/>
      <c r="D53" s="25"/>
      <c r="E53" s="54"/>
      <c r="F53" s="25"/>
      <c r="G53" s="25"/>
      <c r="H53" s="25"/>
      <c r="I53" s="25"/>
      <c r="J53" s="25"/>
      <c r="K53" s="25"/>
      <c r="L53" s="66"/>
      <c r="M53" s="67"/>
      <c r="N53" s="67"/>
      <c r="O53" s="67"/>
      <c r="Q53" s="12"/>
      <c r="R53" s="23"/>
      <c r="S53" s="23"/>
      <c r="T53" s="25"/>
      <c r="U53" s="25"/>
      <c r="V53" s="79"/>
      <c r="W53" s="25"/>
      <c r="X53" s="25"/>
      <c r="Y53" s="25"/>
      <c r="AA53" s="25"/>
      <c r="AB53" s="25"/>
      <c r="AC53" s="25"/>
      <c r="AD53" s="25"/>
      <c r="AE53" s="25"/>
      <c r="AF53" s="25"/>
    </row>
    <row r="54" spans="1:32" ht="15" customHeight="1" thickBot="1">
      <c r="A54" s="26"/>
      <c r="B54" s="23"/>
      <c r="C54" s="27"/>
      <c r="D54" s="25"/>
      <c r="E54" s="54"/>
      <c r="F54" s="25"/>
      <c r="G54" s="25"/>
      <c r="H54" s="25"/>
      <c r="I54" s="25"/>
      <c r="J54" s="25"/>
      <c r="K54" s="25"/>
      <c r="L54" s="66"/>
      <c r="M54" s="67"/>
      <c r="N54" s="67"/>
      <c r="O54" s="67"/>
      <c r="Q54" s="12"/>
      <c r="R54" s="23"/>
      <c r="S54" s="23"/>
      <c r="T54" s="25"/>
      <c r="U54" s="25"/>
      <c r="V54" s="79"/>
      <c r="W54" s="25"/>
      <c r="X54" s="25"/>
      <c r="Y54" s="25"/>
      <c r="AA54" s="25"/>
      <c r="AB54" s="25"/>
      <c r="AC54" s="25"/>
      <c r="AD54" s="25"/>
      <c r="AE54" s="25"/>
      <c r="AF54" s="25"/>
    </row>
    <row r="55" spans="1:32" s="2" customFormat="1" ht="19.5" thickBot="1">
      <c r="A55" s="99" t="s">
        <v>19</v>
      </c>
      <c r="B55" s="100"/>
      <c r="C55" s="101"/>
      <c r="D55" s="102" t="s">
        <v>67</v>
      </c>
      <c r="E55" s="103"/>
      <c r="F55" s="103"/>
      <c r="G55" s="104"/>
      <c r="H55" s="105" t="s">
        <v>68</v>
      </c>
      <c r="I55" s="103"/>
      <c r="J55" s="103"/>
      <c r="K55" s="104"/>
      <c r="L55" s="105" t="s">
        <v>69</v>
      </c>
      <c r="M55" s="103"/>
      <c r="N55" s="103"/>
      <c r="O55" s="106"/>
      <c r="Q55" s="11"/>
      <c r="R55" s="99" t="s">
        <v>19</v>
      </c>
      <c r="S55" s="100"/>
      <c r="T55" s="101"/>
      <c r="U55" s="102" t="s">
        <v>67</v>
      </c>
      <c r="V55" s="103"/>
      <c r="W55" s="103"/>
      <c r="X55" s="104"/>
      <c r="Y55" s="102" t="s">
        <v>68</v>
      </c>
      <c r="Z55" s="103"/>
      <c r="AA55" s="103"/>
      <c r="AB55" s="104"/>
      <c r="AC55" s="102" t="s">
        <v>69</v>
      </c>
      <c r="AD55" s="103"/>
      <c r="AE55" s="103"/>
      <c r="AF55" s="104"/>
    </row>
    <row r="56" spans="1:32" s="2" customFormat="1" ht="15.75" thickBot="1">
      <c r="A56" s="7" t="s">
        <v>6</v>
      </c>
      <c r="B56" s="76" t="s">
        <v>7</v>
      </c>
      <c r="C56" s="8" t="s">
        <v>8</v>
      </c>
      <c r="D56" s="55" t="s">
        <v>9</v>
      </c>
      <c r="E56" s="55" t="s">
        <v>10</v>
      </c>
      <c r="F56" s="55" t="s">
        <v>11</v>
      </c>
      <c r="G56" s="55" t="s">
        <v>12</v>
      </c>
      <c r="H56" s="55" t="s">
        <v>9</v>
      </c>
      <c r="I56" s="55" t="s">
        <v>10</v>
      </c>
      <c r="J56" s="55" t="s">
        <v>11</v>
      </c>
      <c r="K56" s="55" t="s">
        <v>12</v>
      </c>
      <c r="L56" s="55" t="s">
        <v>9</v>
      </c>
      <c r="M56" s="55" t="s">
        <v>10</v>
      </c>
      <c r="N56" s="55" t="s">
        <v>11</v>
      </c>
      <c r="O56" s="55" t="s">
        <v>12</v>
      </c>
      <c r="Q56" s="11"/>
      <c r="R56" s="7" t="s">
        <v>6</v>
      </c>
      <c r="S56" s="76" t="s">
        <v>7</v>
      </c>
      <c r="T56" s="76" t="s">
        <v>8</v>
      </c>
      <c r="U56" s="55" t="s">
        <v>9</v>
      </c>
      <c r="V56" s="55" t="s">
        <v>10</v>
      </c>
      <c r="W56" s="55" t="s">
        <v>11</v>
      </c>
      <c r="X56" s="55" t="s">
        <v>12</v>
      </c>
      <c r="Y56" s="55" t="s">
        <v>9</v>
      </c>
      <c r="Z56" s="55" t="s">
        <v>10</v>
      </c>
      <c r="AA56" s="55" t="s">
        <v>11</v>
      </c>
      <c r="AB56" s="55" t="s">
        <v>12</v>
      </c>
      <c r="AC56" s="55" t="s">
        <v>9</v>
      </c>
      <c r="AD56" s="55" t="s">
        <v>10</v>
      </c>
      <c r="AE56" s="55" t="s">
        <v>11</v>
      </c>
      <c r="AF56" s="55" t="s">
        <v>12</v>
      </c>
    </row>
    <row r="57" spans="1:32" s="2" customFormat="1" ht="15.75" thickBot="1">
      <c r="A57" s="107" t="s">
        <v>42</v>
      </c>
      <c r="B57" s="107" t="s">
        <v>51</v>
      </c>
      <c r="C57" s="9" t="s">
        <v>13</v>
      </c>
      <c r="D57" s="56">
        <v>191623.91729795327</v>
      </c>
      <c r="E57" s="56"/>
      <c r="F57" s="56">
        <v>-81830.268710256554</v>
      </c>
      <c r="G57" s="56">
        <v>54610.799880703446</v>
      </c>
      <c r="H57" s="56">
        <v>-53221.393737710081</v>
      </c>
      <c r="I57" s="56">
        <v>0</v>
      </c>
      <c r="J57" s="56">
        <v>167030.4176228568</v>
      </c>
      <c r="K57" s="56">
        <v>175555.73962578736</v>
      </c>
      <c r="L57" s="56"/>
      <c r="M57" s="56"/>
      <c r="N57" s="56"/>
      <c r="O57" s="56"/>
      <c r="Q57" s="11"/>
      <c r="R57" s="107" t="s">
        <v>2</v>
      </c>
      <c r="S57" s="107" t="s">
        <v>51</v>
      </c>
      <c r="T57" s="58" t="s">
        <v>13</v>
      </c>
      <c r="U57" s="80">
        <v>9.8952989989878684E-4</v>
      </c>
      <c r="V57" s="56"/>
      <c r="W57" s="80">
        <v>-3.2361049529979619E-4</v>
      </c>
      <c r="X57" s="80">
        <v>2.2107280756123414E-4</v>
      </c>
      <c r="Y57" s="80">
        <v>-6.3096872528263515E-4</v>
      </c>
      <c r="Z57" s="56"/>
      <c r="AA57" s="80">
        <v>2.2837025998807756E-3</v>
      </c>
      <c r="AB57" s="80">
        <v>3.5353307000359976E-4</v>
      </c>
      <c r="AC57" s="56"/>
      <c r="AD57" s="56"/>
      <c r="AE57" s="56"/>
      <c r="AF57" s="56"/>
    </row>
    <row r="58" spans="1:32" s="2" customFormat="1" ht="15.75" thickBot="1">
      <c r="A58" s="108"/>
      <c r="B58" s="109"/>
      <c r="C58" s="9" t="s">
        <v>14</v>
      </c>
      <c r="D58" s="56">
        <v>222855.79351640004</v>
      </c>
      <c r="E58" s="56"/>
      <c r="F58" s="56">
        <v>-123662.61838653358</v>
      </c>
      <c r="G58" s="56">
        <v>36694.438051653095</v>
      </c>
      <c r="H58" s="56">
        <v>-25954.795608874876</v>
      </c>
      <c r="I58" s="56">
        <v>0</v>
      </c>
      <c r="J58" s="56">
        <v>151992.17456817208</v>
      </c>
      <c r="K58" s="56">
        <v>208732.95889511053</v>
      </c>
      <c r="L58" s="56"/>
      <c r="M58" s="56"/>
      <c r="N58" s="56"/>
      <c r="O58" s="56"/>
      <c r="Q58" s="11"/>
      <c r="R58" s="108"/>
      <c r="S58" s="109"/>
      <c r="T58" s="58" t="s">
        <v>14</v>
      </c>
      <c r="U58" s="80">
        <v>1.3008864307030264E-3</v>
      </c>
      <c r="V58" s="56"/>
      <c r="W58" s="80">
        <v>-7.4442002521024619E-4</v>
      </c>
      <c r="X58" s="80">
        <v>2.6718816871418305E-4</v>
      </c>
      <c r="Y58" s="80">
        <v>-4.5080237260099881E-4</v>
      </c>
      <c r="Z58" s="56"/>
      <c r="AA58" s="80">
        <v>3.8842082179497833E-3</v>
      </c>
      <c r="AB58" s="80">
        <v>8.1235561860651395E-4</v>
      </c>
      <c r="AC58" s="56"/>
      <c r="AD58" s="56"/>
      <c r="AE58" s="56"/>
      <c r="AF58" s="56"/>
    </row>
    <row r="59" spans="1:32" s="2" customFormat="1" ht="15.75" thickBot="1">
      <c r="A59" s="108"/>
      <c r="B59" s="110" t="s">
        <v>15</v>
      </c>
      <c r="C59" s="9" t="s">
        <v>13</v>
      </c>
      <c r="D59" s="68">
        <v>0.11517828505028199</v>
      </c>
      <c r="E59" s="56"/>
      <c r="F59" s="68">
        <v>-3.5563652286403971E-2</v>
      </c>
      <c r="G59" s="68">
        <v>1.3774368971299349E-2</v>
      </c>
      <c r="H59" s="68">
        <v>-1.8053992214024581E-2</v>
      </c>
      <c r="I59" s="56">
        <v>0</v>
      </c>
      <c r="J59" s="68">
        <v>4.128831113922795E-2</v>
      </c>
      <c r="K59" s="68">
        <v>2.5103179626282147E-2</v>
      </c>
      <c r="L59" s="56"/>
      <c r="M59" s="56"/>
      <c r="N59" s="56"/>
      <c r="O59" s="56"/>
      <c r="Q59" s="11"/>
      <c r="R59" s="108"/>
      <c r="S59" s="110" t="s">
        <v>15</v>
      </c>
      <c r="T59" s="58" t="s">
        <v>13</v>
      </c>
      <c r="U59" s="80">
        <v>9.7449639392011983E-2</v>
      </c>
      <c r="V59" s="56"/>
      <c r="W59" s="80">
        <v>-1.5391856527395205E-2</v>
      </c>
      <c r="X59" s="80">
        <v>1.8081042149111399E-2</v>
      </c>
      <c r="Y59" s="80">
        <v>-3.5980990916959839E-2</v>
      </c>
      <c r="Z59" s="56"/>
      <c r="AA59" s="80">
        <v>6.1136675080175798E-2</v>
      </c>
      <c r="AB59" s="80">
        <v>1.6603889691263377E-2</v>
      </c>
      <c r="AC59" s="56"/>
      <c r="AD59" s="56"/>
      <c r="AE59" s="56"/>
      <c r="AF59" s="56"/>
    </row>
    <row r="60" spans="1:32" s="2" customFormat="1" ht="15.75" thickBot="1">
      <c r="A60" s="108"/>
      <c r="B60" s="111"/>
      <c r="C60" s="9" t="s">
        <v>14</v>
      </c>
      <c r="D60" s="68">
        <v>0.12094444027754904</v>
      </c>
      <c r="E60" s="56"/>
      <c r="F60" s="68">
        <v>-4.9275042789616669E-2</v>
      </c>
      <c r="G60" s="68">
        <v>8.4311042897626393E-3</v>
      </c>
      <c r="H60" s="68">
        <v>-8.1782951522462177E-3</v>
      </c>
      <c r="I60" s="56">
        <v>0</v>
      </c>
      <c r="J60" s="68">
        <v>3.5606727011815616E-2</v>
      </c>
      <c r="K60" s="68">
        <v>2.8047001281548328E-2</v>
      </c>
      <c r="L60" s="56"/>
      <c r="M60" s="56"/>
      <c r="N60" s="56"/>
      <c r="O60" s="56"/>
      <c r="Q60" s="11"/>
      <c r="R60" s="108"/>
      <c r="S60" s="111"/>
      <c r="T60" s="58" t="s">
        <v>14</v>
      </c>
      <c r="U60" s="80">
        <v>0.11430604601473068</v>
      </c>
      <c r="V60" s="56"/>
      <c r="W60" s="80">
        <v>-3.2590939140989782E-2</v>
      </c>
      <c r="X60" s="80">
        <v>1.9781641355115474E-2</v>
      </c>
      <c r="Y60" s="80">
        <v>-2.3784893296031305E-2</v>
      </c>
      <c r="Z60" s="56"/>
      <c r="AA60" s="80">
        <v>9.4487192215435709E-2</v>
      </c>
      <c r="AB60" s="80">
        <v>3.5205490922008024E-2</v>
      </c>
      <c r="AC60" s="56"/>
      <c r="AD60" s="56"/>
      <c r="AE60" s="56"/>
      <c r="AF60" s="56"/>
    </row>
    <row r="61" spans="1:32" s="2" customFormat="1" ht="15.75" thickBot="1">
      <c r="A61" s="108"/>
      <c r="B61" s="110" t="s">
        <v>16</v>
      </c>
      <c r="C61" s="9" t="s">
        <v>13</v>
      </c>
      <c r="D61" s="58" t="s">
        <v>104</v>
      </c>
      <c r="E61" s="56"/>
      <c r="F61" s="58" t="s">
        <v>103</v>
      </c>
      <c r="G61" s="58" t="s">
        <v>104</v>
      </c>
      <c r="H61" s="58" t="s">
        <v>103</v>
      </c>
      <c r="I61" s="56">
        <v>0</v>
      </c>
      <c r="J61" s="58" t="s">
        <v>104</v>
      </c>
      <c r="K61" s="58" t="s">
        <v>104</v>
      </c>
      <c r="L61" s="56"/>
      <c r="M61" s="56"/>
      <c r="N61" s="56"/>
      <c r="O61" s="56"/>
      <c r="Q61" s="11"/>
      <c r="R61" s="108"/>
      <c r="S61" s="110" t="s">
        <v>16</v>
      </c>
      <c r="T61" s="58" t="s">
        <v>13</v>
      </c>
      <c r="U61" s="58" t="s">
        <v>104</v>
      </c>
      <c r="V61" s="56"/>
      <c r="W61" s="58" t="s">
        <v>103</v>
      </c>
      <c r="X61" s="58" t="s">
        <v>104</v>
      </c>
      <c r="Y61" s="58" t="s">
        <v>103</v>
      </c>
      <c r="Z61" s="56"/>
      <c r="AA61" s="58" t="s">
        <v>104</v>
      </c>
      <c r="AB61" s="58" t="s">
        <v>104</v>
      </c>
      <c r="AC61" s="56"/>
      <c r="AD61" s="56"/>
      <c r="AE61" s="56"/>
      <c r="AF61" s="56"/>
    </row>
    <row r="62" spans="1:32" s="2" customFormat="1" ht="15.75" thickBot="1">
      <c r="A62" s="108"/>
      <c r="B62" s="111"/>
      <c r="C62" s="9" t="s">
        <v>14</v>
      </c>
      <c r="D62" s="58" t="s">
        <v>104</v>
      </c>
      <c r="E62" s="56"/>
      <c r="F62" s="58" t="s">
        <v>103</v>
      </c>
      <c r="G62" s="58" t="s">
        <v>104</v>
      </c>
      <c r="H62" s="58" t="s">
        <v>103</v>
      </c>
      <c r="I62" s="56">
        <v>0</v>
      </c>
      <c r="J62" s="58" t="s">
        <v>104</v>
      </c>
      <c r="K62" s="58" t="s">
        <v>104</v>
      </c>
      <c r="L62" s="56"/>
      <c r="M62" s="56"/>
      <c r="N62" s="56"/>
      <c r="O62" s="56"/>
      <c r="Q62" s="11"/>
      <c r="R62" s="108"/>
      <c r="S62" s="111"/>
      <c r="T62" s="58" t="s">
        <v>14</v>
      </c>
      <c r="U62" s="58" t="s">
        <v>104</v>
      </c>
      <c r="V62" s="56"/>
      <c r="W62" s="58" t="s">
        <v>103</v>
      </c>
      <c r="X62" s="58" t="s">
        <v>104</v>
      </c>
      <c r="Y62" s="58" t="s">
        <v>103</v>
      </c>
      <c r="Z62" s="56"/>
      <c r="AA62" s="58" t="s">
        <v>104</v>
      </c>
      <c r="AB62" s="58" t="s">
        <v>104</v>
      </c>
      <c r="AC62" s="56"/>
      <c r="AD62" s="56"/>
      <c r="AE62" s="56"/>
      <c r="AF62" s="56"/>
    </row>
    <row r="63" spans="1:32" s="2" customFormat="1" ht="15.75" customHeight="1" thickBot="1">
      <c r="A63" s="108"/>
      <c r="B63" s="112" t="s">
        <v>63</v>
      </c>
      <c r="C63" s="16" t="s">
        <v>13</v>
      </c>
      <c r="D63" s="56" t="s">
        <v>107</v>
      </c>
      <c r="E63" s="56"/>
      <c r="F63" s="56" t="s">
        <v>105</v>
      </c>
      <c r="G63" s="56" t="s">
        <v>105</v>
      </c>
      <c r="H63" s="56" t="s">
        <v>105</v>
      </c>
      <c r="I63" s="56">
        <v>0</v>
      </c>
      <c r="J63" s="56" t="s">
        <v>105</v>
      </c>
      <c r="K63" s="56" t="s">
        <v>105</v>
      </c>
      <c r="L63" s="56"/>
      <c r="M63" s="56"/>
      <c r="N63" s="56"/>
      <c r="O63" s="56"/>
      <c r="Q63" s="11"/>
      <c r="R63" s="108"/>
      <c r="S63" s="112" t="s">
        <v>63</v>
      </c>
      <c r="T63" s="64" t="s">
        <v>13</v>
      </c>
      <c r="U63" s="56" t="s">
        <v>107</v>
      </c>
      <c r="V63" s="56"/>
      <c r="W63" s="56" t="s">
        <v>105</v>
      </c>
      <c r="X63" s="56" t="s">
        <v>105</v>
      </c>
      <c r="Y63" s="56" t="s">
        <v>105</v>
      </c>
      <c r="Z63" s="56"/>
      <c r="AA63" s="56" t="s">
        <v>105</v>
      </c>
      <c r="AB63" s="56" t="s">
        <v>105</v>
      </c>
      <c r="AC63" s="56"/>
      <c r="AD63" s="56"/>
      <c r="AE63" s="56"/>
      <c r="AF63" s="56"/>
    </row>
    <row r="64" spans="1:32" ht="15.75" thickBot="1">
      <c r="A64" s="108"/>
      <c r="B64" s="112"/>
      <c r="C64" s="16" t="s">
        <v>14</v>
      </c>
      <c r="D64" s="56" t="s">
        <v>108</v>
      </c>
      <c r="E64" s="56"/>
      <c r="F64" s="56" t="s">
        <v>105</v>
      </c>
      <c r="G64" s="56" t="s">
        <v>105</v>
      </c>
      <c r="H64" s="56" t="s">
        <v>105</v>
      </c>
      <c r="I64" s="56">
        <v>0</v>
      </c>
      <c r="J64" s="56" t="s">
        <v>105</v>
      </c>
      <c r="K64" s="56" t="s">
        <v>105</v>
      </c>
      <c r="L64" s="56"/>
      <c r="M64" s="56"/>
      <c r="N64" s="56"/>
      <c r="O64" s="56"/>
      <c r="Q64" s="12"/>
      <c r="R64" s="108"/>
      <c r="S64" s="112"/>
      <c r="T64" s="64" t="s">
        <v>14</v>
      </c>
      <c r="U64" s="56" t="s">
        <v>107</v>
      </c>
      <c r="V64" s="56"/>
      <c r="W64" s="56" t="s">
        <v>105</v>
      </c>
      <c r="X64" s="56" t="s">
        <v>105</v>
      </c>
      <c r="Y64" s="56" t="s">
        <v>105</v>
      </c>
      <c r="Z64" s="56"/>
      <c r="AA64" s="56" t="s">
        <v>107</v>
      </c>
      <c r="AB64" s="56" t="s">
        <v>105</v>
      </c>
      <c r="AC64" s="56"/>
      <c r="AD64" s="56"/>
      <c r="AE64" s="56"/>
      <c r="AF64" s="56"/>
    </row>
    <row r="65" spans="1:32" ht="15" customHeight="1" thickBot="1">
      <c r="A65" s="108"/>
      <c r="B65" s="112" t="s">
        <v>60</v>
      </c>
      <c r="C65" s="16" t="s">
        <v>13</v>
      </c>
      <c r="D65" s="69">
        <v>0.12717365058027053</v>
      </c>
      <c r="E65" s="56"/>
      <c r="F65" s="69">
        <v>0.74851102424135973</v>
      </c>
      <c r="G65" s="69">
        <v>0.87693070295880471</v>
      </c>
      <c r="H65" s="69">
        <v>0.68090743173731416</v>
      </c>
      <c r="I65" s="56">
        <v>0</v>
      </c>
      <c r="J65" s="69">
        <v>0.59565536214854986</v>
      </c>
      <c r="K65" s="69">
        <v>0.52781057143803345</v>
      </c>
      <c r="L65" s="56"/>
      <c r="M65" s="56"/>
      <c r="N65" s="56"/>
      <c r="O65" s="56"/>
      <c r="Q65" s="12"/>
      <c r="R65" s="108"/>
      <c r="S65" s="112" t="s">
        <v>60</v>
      </c>
      <c r="T65" s="64" t="s">
        <v>13</v>
      </c>
      <c r="U65" s="71">
        <v>0.1704276338647204</v>
      </c>
      <c r="V65" s="56"/>
      <c r="W65" s="71">
        <v>0.76628451400995035</v>
      </c>
      <c r="X65" s="71">
        <v>0.77952247902579774</v>
      </c>
      <c r="Y65" s="71">
        <v>0.50123144768378125</v>
      </c>
      <c r="Z65" s="56"/>
      <c r="AA65" s="71">
        <v>0.30615501437345538</v>
      </c>
      <c r="AB65" s="71">
        <v>0.62189627463875241</v>
      </c>
      <c r="AC65" s="56"/>
      <c r="AD65" s="56"/>
      <c r="AE65" s="56"/>
      <c r="AF65" s="56"/>
    </row>
    <row r="66" spans="1:32" ht="15" customHeight="1" thickBot="1">
      <c r="A66" s="109"/>
      <c r="B66" s="112"/>
      <c r="C66" s="16" t="s">
        <v>14</v>
      </c>
      <c r="D66" s="69">
        <v>0.10779996191307686</v>
      </c>
      <c r="E66" s="56"/>
      <c r="F66" s="69">
        <v>0.57814907686269856</v>
      </c>
      <c r="G66" s="69">
        <v>0.91494287352363401</v>
      </c>
      <c r="H66" s="69">
        <v>0.86578652986218163</v>
      </c>
      <c r="I66" s="56">
        <v>0</v>
      </c>
      <c r="J66" s="69">
        <v>0.50083808631863136</v>
      </c>
      <c r="K66" s="69">
        <v>0.53303101329516855</v>
      </c>
      <c r="L66" s="56"/>
      <c r="M66" s="56"/>
      <c r="N66" s="56"/>
      <c r="O66" s="56"/>
      <c r="Q66" s="12"/>
      <c r="R66" s="109"/>
      <c r="S66" s="112"/>
      <c r="T66" s="64" t="s">
        <v>14</v>
      </c>
      <c r="U66" s="71">
        <v>0.12996364852703485</v>
      </c>
      <c r="V66" s="56"/>
      <c r="W66" s="71">
        <v>0.61539500295953686</v>
      </c>
      <c r="X66" s="71">
        <v>0.77292183874374154</v>
      </c>
      <c r="Y66" s="71">
        <v>0.64741511394632212</v>
      </c>
      <c r="Z66" s="56"/>
      <c r="AA66" s="71">
        <v>0.13907438272776121</v>
      </c>
      <c r="AB66" s="71">
        <v>0.4779698785256784</v>
      </c>
      <c r="AC66" s="56"/>
      <c r="AD66" s="56"/>
      <c r="AE66" s="56"/>
      <c r="AF66" s="56"/>
    </row>
    <row r="67" spans="1:32" ht="15" customHeight="1">
      <c r="A67" s="23"/>
      <c r="B67" s="23"/>
      <c r="C67" s="27"/>
      <c r="D67" s="25"/>
      <c r="E67" s="54"/>
      <c r="F67" s="25"/>
      <c r="G67" s="25"/>
      <c r="H67" s="25"/>
      <c r="I67" s="25"/>
      <c r="J67" s="25"/>
      <c r="K67" s="25"/>
      <c r="L67" s="66"/>
      <c r="M67" s="67"/>
      <c r="N67" s="67"/>
      <c r="O67" s="67"/>
      <c r="Q67" s="12"/>
      <c r="R67" s="23"/>
      <c r="S67" s="23"/>
      <c r="T67" s="25"/>
      <c r="U67" s="25"/>
      <c r="V67" s="79"/>
      <c r="W67" s="25"/>
      <c r="X67" s="25"/>
      <c r="Y67" s="25"/>
      <c r="AA67" s="25"/>
      <c r="AB67" s="25"/>
      <c r="AC67" s="25"/>
      <c r="AD67" s="25"/>
      <c r="AE67" s="25"/>
      <c r="AF67" s="25"/>
    </row>
    <row r="68" spans="1:32" ht="14.25" thickBot="1">
      <c r="A68" s="5"/>
      <c r="Q68" s="12"/>
    </row>
    <row r="69" spans="1:32" ht="19.5" thickBot="1">
      <c r="A69" s="99" t="s">
        <v>19</v>
      </c>
      <c r="B69" s="100"/>
      <c r="C69" s="101"/>
      <c r="D69" s="102" t="s">
        <v>30</v>
      </c>
      <c r="E69" s="103"/>
      <c r="F69" s="103"/>
      <c r="G69" s="104"/>
      <c r="H69" s="105" t="s">
        <v>31</v>
      </c>
      <c r="I69" s="103"/>
      <c r="J69" s="103"/>
      <c r="K69" s="104"/>
      <c r="L69" s="105" t="s">
        <v>32</v>
      </c>
      <c r="M69" s="103"/>
      <c r="N69" s="103"/>
      <c r="O69" s="106"/>
      <c r="Q69" s="12"/>
      <c r="R69" s="99" t="s">
        <v>19</v>
      </c>
      <c r="S69" s="100"/>
      <c r="T69" s="101"/>
      <c r="U69" s="102" t="s">
        <v>30</v>
      </c>
      <c r="V69" s="103"/>
      <c r="W69" s="103"/>
      <c r="X69" s="104"/>
      <c r="Y69" s="102" t="s">
        <v>31</v>
      </c>
      <c r="Z69" s="103"/>
      <c r="AA69" s="103"/>
      <c r="AB69" s="104"/>
      <c r="AC69" s="102" t="s">
        <v>32</v>
      </c>
      <c r="AD69" s="103"/>
      <c r="AE69" s="103"/>
      <c r="AF69" s="104"/>
    </row>
    <row r="70" spans="1:32" ht="15.75" thickBot="1">
      <c r="A70" s="7" t="s">
        <v>6</v>
      </c>
      <c r="B70" s="76" t="s">
        <v>7</v>
      </c>
      <c r="C70" s="8" t="s">
        <v>8</v>
      </c>
      <c r="D70" s="55" t="s">
        <v>9</v>
      </c>
      <c r="E70" s="55" t="s">
        <v>10</v>
      </c>
      <c r="F70" s="55" t="s">
        <v>11</v>
      </c>
      <c r="G70" s="55" t="s">
        <v>12</v>
      </c>
      <c r="H70" s="55" t="s">
        <v>9</v>
      </c>
      <c r="I70" s="55" t="s">
        <v>10</v>
      </c>
      <c r="J70" s="55" t="s">
        <v>11</v>
      </c>
      <c r="K70" s="55" t="s">
        <v>12</v>
      </c>
      <c r="L70" s="55" t="s">
        <v>9</v>
      </c>
      <c r="M70" s="55" t="s">
        <v>10</v>
      </c>
      <c r="N70" s="55" t="s">
        <v>11</v>
      </c>
      <c r="O70" s="55" t="s">
        <v>12</v>
      </c>
      <c r="Q70" s="12"/>
      <c r="R70" s="7" t="s">
        <v>6</v>
      </c>
      <c r="S70" s="76" t="s">
        <v>7</v>
      </c>
      <c r="T70" s="76" t="s">
        <v>8</v>
      </c>
      <c r="U70" s="55" t="s">
        <v>9</v>
      </c>
      <c r="V70" s="55" t="s">
        <v>10</v>
      </c>
      <c r="W70" s="55" t="s">
        <v>11</v>
      </c>
      <c r="X70" s="55" t="s">
        <v>12</v>
      </c>
      <c r="Y70" s="55" t="s">
        <v>9</v>
      </c>
      <c r="Z70" s="55" t="s">
        <v>10</v>
      </c>
      <c r="AA70" s="55" t="s">
        <v>11</v>
      </c>
      <c r="AB70" s="55" t="s">
        <v>12</v>
      </c>
      <c r="AC70" s="55" t="s">
        <v>9</v>
      </c>
      <c r="AD70" s="55" t="s">
        <v>10</v>
      </c>
      <c r="AE70" s="55" t="s">
        <v>11</v>
      </c>
      <c r="AF70" s="55" t="s">
        <v>12</v>
      </c>
    </row>
    <row r="71" spans="1:32" ht="15.75" customHeight="1" thickBot="1">
      <c r="A71" s="107" t="s">
        <v>33</v>
      </c>
      <c r="B71" s="107" t="s">
        <v>51</v>
      </c>
      <c r="C71" s="9" t="s">
        <v>13</v>
      </c>
      <c r="D71" s="56"/>
      <c r="E71" s="56">
        <v>1022573.5355158001</v>
      </c>
      <c r="F71" s="56"/>
      <c r="G71" s="56">
        <v>1022573.5355158001</v>
      </c>
      <c r="H71" s="56">
        <v>0</v>
      </c>
      <c r="I71" s="56">
        <v>4395583.3484872431</v>
      </c>
      <c r="J71" s="56">
        <v>197886.1348182098</v>
      </c>
      <c r="K71" s="56">
        <v>4413911.3456627056</v>
      </c>
      <c r="L71" s="56"/>
      <c r="M71" s="56"/>
      <c r="N71" s="56"/>
      <c r="O71" s="56"/>
      <c r="Q71" s="12"/>
      <c r="R71" s="107" t="s">
        <v>33</v>
      </c>
      <c r="S71" s="107" t="s">
        <v>51</v>
      </c>
      <c r="T71" s="58" t="s">
        <v>13</v>
      </c>
      <c r="U71" s="56"/>
      <c r="V71" s="77">
        <v>3.0006636605319909E-3</v>
      </c>
      <c r="W71" s="56"/>
      <c r="X71" s="77">
        <v>7.7259584560880092E-4</v>
      </c>
      <c r="Y71" s="56"/>
      <c r="Z71" s="77">
        <v>1.4065286873833349E-3</v>
      </c>
      <c r="AA71" s="77">
        <v>2.8418762309823011E-4</v>
      </c>
      <c r="AB71" s="77">
        <v>1.2778023288363E-3</v>
      </c>
      <c r="AC71" s="56"/>
      <c r="AD71" s="56"/>
      <c r="AE71" s="56"/>
      <c r="AF71" s="56"/>
    </row>
    <row r="72" spans="1:32" ht="15.75" thickBot="1">
      <c r="A72" s="108"/>
      <c r="B72" s="109"/>
      <c r="C72" s="9" t="s">
        <v>14</v>
      </c>
      <c r="D72" s="56"/>
      <c r="E72" s="56">
        <v>1747629.0013629496</v>
      </c>
      <c r="F72" s="56"/>
      <c r="G72" s="56">
        <v>1747629.0013629496</v>
      </c>
      <c r="H72" s="56">
        <v>0</v>
      </c>
      <c r="I72" s="56">
        <v>-3102761.8439028785</v>
      </c>
      <c r="J72" s="56">
        <v>151969.07870899839</v>
      </c>
      <c r="K72" s="56">
        <v>-3183536.9170552269</v>
      </c>
      <c r="L72" s="56"/>
      <c r="M72" s="56"/>
      <c r="N72" s="56"/>
      <c r="O72" s="56"/>
      <c r="Q72" s="12"/>
      <c r="R72" s="108"/>
      <c r="S72" s="109"/>
      <c r="T72" s="58" t="s">
        <v>14</v>
      </c>
      <c r="U72" s="56"/>
      <c r="V72" s="77">
        <v>4.7255948700029998E-3</v>
      </c>
      <c r="W72" s="56"/>
      <c r="X72" s="77">
        <v>5.5178812409543455E-4</v>
      </c>
      <c r="Y72" s="56"/>
      <c r="Z72" s="77">
        <v>-1.3398802049837316E-2</v>
      </c>
      <c r="AA72" s="77">
        <v>2.0585377782761502E-4</v>
      </c>
      <c r="AB72" s="77">
        <v>-1.8512488876225516E-3</v>
      </c>
      <c r="AC72" s="56"/>
      <c r="AD72" s="56"/>
      <c r="AE72" s="56"/>
      <c r="AF72" s="56"/>
    </row>
    <row r="73" spans="1:32" ht="15.75" thickBot="1">
      <c r="A73" s="108"/>
      <c r="B73" s="110" t="s">
        <v>15</v>
      </c>
      <c r="C73" s="9" t="s">
        <v>13</v>
      </c>
      <c r="D73" s="56"/>
      <c r="E73" s="57">
        <v>4.0432458550944267E-2</v>
      </c>
      <c r="F73" s="56"/>
      <c r="G73" s="57">
        <v>4.0432458550944267E-2</v>
      </c>
      <c r="H73" s="56">
        <v>0</v>
      </c>
      <c r="I73" s="57">
        <v>8.3392631393546107E-2</v>
      </c>
      <c r="J73" s="57">
        <v>6.9868386424390971E-2</v>
      </c>
      <c r="K73" s="57">
        <v>7.9469747158387047E-2</v>
      </c>
      <c r="L73" s="56"/>
      <c r="M73" s="56"/>
      <c r="N73" s="56"/>
      <c r="O73" s="56"/>
      <c r="Q73" s="12"/>
      <c r="R73" s="108"/>
      <c r="S73" s="110" t="s">
        <v>15</v>
      </c>
      <c r="T73" s="58" t="s">
        <v>13</v>
      </c>
      <c r="U73" s="56"/>
      <c r="V73" s="57">
        <v>2.8145366042632684E-2</v>
      </c>
      <c r="W73" s="56"/>
      <c r="X73" s="57">
        <v>5.810792960783611E-2</v>
      </c>
      <c r="Y73" s="56"/>
      <c r="Z73" s="57">
        <v>8.6170828427187696E-3</v>
      </c>
      <c r="AA73" s="57">
        <v>8.2731932127643779E-2</v>
      </c>
      <c r="AB73" s="57">
        <v>5.6494422785614611E-2</v>
      </c>
      <c r="AC73" s="56"/>
      <c r="AD73" s="56"/>
      <c r="AE73" s="56"/>
      <c r="AF73" s="56"/>
    </row>
    <row r="74" spans="1:32" ht="15.75" thickBot="1">
      <c r="A74" s="108"/>
      <c r="B74" s="111"/>
      <c r="C74" s="9" t="s">
        <v>14</v>
      </c>
      <c r="D74" s="56"/>
      <c r="E74" s="57">
        <v>6.7085116432085687E-2</v>
      </c>
      <c r="F74" s="56"/>
      <c r="G74" s="57">
        <v>6.7085116432085687E-2</v>
      </c>
      <c r="H74" s="56">
        <v>0</v>
      </c>
      <c r="I74" s="57">
        <v>-6.9379651290059213E-2</v>
      </c>
      <c r="J74" s="57">
        <v>5.4809500771035073E-2</v>
      </c>
      <c r="K74" s="57">
        <v>-6.7029754396056074E-2</v>
      </c>
      <c r="L74" s="56"/>
      <c r="M74" s="56"/>
      <c r="N74" s="56"/>
      <c r="O74" s="56"/>
      <c r="Q74" s="12"/>
      <c r="R74" s="108"/>
      <c r="S74" s="111"/>
      <c r="T74" s="58" t="s">
        <v>14</v>
      </c>
      <c r="U74" s="56"/>
      <c r="V74" s="57">
        <v>4.3511885515654596E-2</v>
      </c>
      <c r="W74" s="56"/>
      <c r="X74" s="57">
        <v>4.0789447944323438E-2</v>
      </c>
      <c r="Y74" s="56"/>
      <c r="Z74" s="57">
        <v>-9.0085183290267698E-2</v>
      </c>
      <c r="AA74" s="57">
        <v>6.2081587658803492E-2</v>
      </c>
      <c r="AB74" s="57">
        <v>-9.5286235862979685E-2</v>
      </c>
      <c r="AC74" s="56"/>
      <c r="AD74" s="56"/>
      <c r="AE74" s="56"/>
      <c r="AF74" s="56"/>
    </row>
    <row r="75" spans="1:32" ht="15.75" thickBot="1">
      <c r="A75" s="108"/>
      <c r="B75" s="110" t="s">
        <v>16</v>
      </c>
      <c r="C75" s="9" t="s">
        <v>13</v>
      </c>
      <c r="D75" s="56"/>
      <c r="E75" s="58" t="s">
        <v>104</v>
      </c>
      <c r="F75" s="56"/>
      <c r="G75" s="58" t="s">
        <v>104</v>
      </c>
      <c r="H75" s="56">
        <v>0</v>
      </c>
      <c r="I75" s="58" t="s">
        <v>104</v>
      </c>
      <c r="J75" s="58" t="s">
        <v>104</v>
      </c>
      <c r="K75" s="58" t="s">
        <v>104</v>
      </c>
      <c r="L75" s="56"/>
      <c r="M75" s="56"/>
      <c r="N75" s="56"/>
      <c r="O75" s="56"/>
      <c r="Q75" s="12"/>
      <c r="R75" s="108"/>
      <c r="S75" s="110" t="s">
        <v>16</v>
      </c>
      <c r="T75" s="58" t="s">
        <v>13</v>
      </c>
      <c r="U75" s="56"/>
      <c r="V75" s="58" t="s">
        <v>104</v>
      </c>
      <c r="W75" s="56"/>
      <c r="X75" s="58" t="s">
        <v>104</v>
      </c>
      <c r="Y75" s="56"/>
      <c r="Z75" s="58" t="s">
        <v>104</v>
      </c>
      <c r="AA75" s="58" t="s">
        <v>104</v>
      </c>
      <c r="AB75" s="58" t="s">
        <v>104</v>
      </c>
      <c r="AC75" s="56"/>
      <c r="AD75" s="56"/>
      <c r="AE75" s="56"/>
      <c r="AF75" s="56"/>
    </row>
    <row r="76" spans="1:32" ht="15.75" thickBot="1">
      <c r="A76" s="108"/>
      <c r="B76" s="111"/>
      <c r="C76" s="9" t="s">
        <v>14</v>
      </c>
      <c r="D76" s="56"/>
      <c r="E76" s="58" t="s">
        <v>104</v>
      </c>
      <c r="F76" s="56"/>
      <c r="G76" s="58" t="s">
        <v>104</v>
      </c>
      <c r="H76" s="56">
        <v>0</v>
      </c>
      <c r="I76" s="58" t="s">
        <v>103</v>
      </c>
      <c r="J76" s="58" t="s">
        <v>104</v>
      </c>
      <c r="K76" s="58" t="s">
        <v>103</v>
      </c>
      <c r="L76" s="56"/>
      <c r="M76" s="56"/>
      <c r="N76" s="56"/>
      <c r="O76" s="56"/>
      <c r="Q76" s="12"/>
      <c r="R76" s="108"/>
      <c r="S76" s="111"/>
      <c r="T76" s="58" t="s">
        <v>14</v>
      </c>
      <c r="U76" s="56"/>
      <c r="V76" s="58" t="s">
        <v>104</v>
      </c>
      <c r="W76" s="56"/>
      <c r="X76" s="58" t="s">
        <v>104</v>
      </c>
      <c r="Y76" s="56"/>
      <c r="Z76" s="58" t="s">
        <v>103</v>
      </c>
      <c r="AA76" s="58" t="s">
        <v>104</v>
      </c>
      <c r="AB76" s="58" t="s">
        <v>103</v>
      </c>
      <c r="AC76" s="56"/>
      <c r="AD76" s="56"/>
      <c r="AE76" s="56"/>
      <c r="AF76" s="56"/>
    </row>
    <row r="77" spans="1:32" ht="15.75" customHeight="1" thickBot="1">
      <c r="A77" s="108"/>
      <c r="B77" s="118" t="s">
        <v>63</v>
      </c>
      <c r="C77" s="32" t="s">
        <v>13</v>
      </c>
      <c r="D77" s="61"/>
      <c r="E77" s="60" t="s">
        <v>105</v>
      </c>
      <c r="F77" s="61"/>
      <c r="G77" s="60" t="s">
        <v>105</v>
      </c>
      <c r="H77" s="61">
        <v>0</v>
      </c>
      <c r="I77" s="60" t="s">
        <v>105</v>
      </c>
      <c r="J77" s="60" t="s">
        <v>105</v>
      </c>
      <c r="K77" s="60" t="s">
        <v>105</v>
      </c>
      <c r="L77" s="61"/>
      <c r="M77" s="61"/>
      <c r="N77" s="61"/>
      <c r="O77" s="61"/>
      <c r="Q77" s="12"/>
      <c r="R77" s="108"/>
      <c r="S77" s="118" t="s">
        <v>63</v>
      </c>
      <c r="T77" s="60" t="s">
        <v>13</v>
      </c>
      <c r="U77" s="61"/>
      <c r="V77" s="60" t="s">
        <v>105</v>
      </c>
      <c r="W77" s="61"/>
      <c r="X77" s="60" t="s">
        <v>105</v>
      </c>
      <c r="Y77" s="61"/>
      <c r="Z77" s="60" t="s">
        <v>105</v>
      </c>
      <c r="AA77" s="60" t="s">
        <v>107</v>
      </c>
      <c r="AB77" s="60" t="s">
        <v>107</v>
      </c>
      <c r="AC77" s="61"/>
      <c r="AD77" s="61"/>
      <c r="AE77" s="61"/>
      <c r="AF77" s="61"/>
    </row>
    <row r="78" spans="1:32" ht="14.25" thickBot="1">
      <c r="A78" s="108"/>
      <c r="B78" s="118"/>
      <c r="C78" s="32" t="s">
        <v>14</v>
      </c>
      <c r="D78" s="61"/>
      <c r="E78" s="60" t="s">
        <v>105</v>
      </c>
      <c r="F78" s="61"/>
      <c r="G78" s="60" t="s">
        <v>105</v>
      </c>
      <c r="H78" s="61">
        <v>0</v>
      </c>
      <c r="I78" s="60" t="s">
        <v>105</v>
      </c>
      <c r="J78" s="60" t="s">
        <v>105</v>
      </c>
      <c r="K78" s="60" t="s">
        <v>105</v>
      </c>
      <c r="L78" s="61"/>
      <c r="M78" s="61"/>
      <c r="N78" s="61"/>
      <c r="O78" s="61"/>
      <c r="Q78" s="12"/>
      <c r="R78" s="108"/>
      <c r="S78" s="118"/>
      <c r="T78" s="60" t="s">
        <v>14</v>
      </c>
      <c r="U78" s="61"/>
      <c r="V78" s="60" t="s">
        <v>107</v>
      </c>
      <c r="W78" s="61"/>
      <c r="X78" s="60" t="s">
        <v>105</v>
      </c>
      <c r="Y78" s="61"/>
      <c r="Z78" s="60" t="s">
        <v>107</v>
      </c>
      <c r="AA78" s="60" t="s">
        <v>107</v>
      </c>
      <c r="AB78" s="60" t="s">
        <v>105</v>
      </c>
      <c r="AC78" s="61"/>
      <c r="AD78" s="61"/>
      <c r="AE78" s="61"/>
      <c r="AF78" s="61"/>
    </row>
    <row r="79" spans="1:32" ht="15" customHeight="1" thickBot="1">
      <c r="A79" s="108"/>
      <c r="B79" s="118" t="s">
        <v>60</v>
      </c>
      <c r="C79" s="32" t="s">
        <v>13</v>
      </c>
      <c r="D79" s="61"/>
      <c r="E79" s="60">
        <v>0.77973994834172977</v>
      </c>
      <c r="F79" s="61"/>
      <c r="G79" s="60">
        <v>0.77973994834172977</v>
      </c>
      <c r="H79" s="61">
        <v>0</v>
      </c>
      <c r="I79" s="60">
        <v>0.43524907783494449</v>
      </c>
      <c r="J79" s="60">
        <v>0.51739605142195866</v>
      </c>
      <c r="K79" s="60">
        <v>0.43444320812057491</v>
      </c>
      <c r="L79" s="61"/>
      <c r="M79" s="61"/>
      <c r="N79" s="61"/>
      <c r="O79" s="61"/>
      <c r="Q79" s="12"/>
      <c r="R79" s="108"/>
      <c r="S79" s="119" t="s">
        <v>60</v>
      </c>
      <c r="T79" s="81" t="s">
        <v>13</v>
      </c>
      <c r="U79" s="61"/>
      <c r="V79" s="81">
        <v>0.30626313799154037</v>
      </c>
      <c r="W79" s="61"/>
      <c r="X79" s="81">
        <v>0.25805577019671933</v>
      </c>
      <c r="Y79" s="61"/>
      <c r="Z79" s="60">
        <v>0.85335380185918575</v>
      </c>
      <c r="AA79" s="60">
        <v>6.0091643014610251E-2</v>
      </c>
      <c r="AB79" s="60">
        <v>0.19063287631733483</v>
      </c>
      <c r="AC79" s="61"/>
      <c r="AD79" s="61"/>
      <c r="AE79" s="61"/>
      <c r="AF79" s="61"/>
    </row>
    <row r="80" spans="1:32" ht="15" customHeight="1" thickBot="1">
      <c r="A80" s="109"/>
      <c r="B80" s="118"/>
      <c r="C80" s="32" t="s">
        <v>14</v>
      </c>
      <c r="D80" s="61"/>
      <c r="E80" s="60">
        <v>0.49565891125288708</v>
      </c>
      <c r="F80" s="61"/>
      <c r="G80" s="60">
        <v>0.49565891125288708</v>
      </c>
      <c r="H80" s="61">
        <v>0</v>
      </c>
      <c r="I80" s="60">
        <v>0.48581411442030198</v>
      </c>
      <c r="J80" s="60">
        <v>0.4053301814242366</v>
      </c>
      <c r="K80" s="60">
        <v>0.47662863000723321</v>
      </c>
      <c r="L80" s="61"/>
      <c r="M80" s="61"/>
      <c r="N80" s="61"/>
      <c r="O80" s="61"/>
      <c r="Q80" s="12"/>
      <c r="R80" s="109"/>
      <c r="S80" s="119"/>
      <c r="T80" s="81" t="s">
        <v>14</v>
      </c>
      <c r="U80" s="61"/>
      <c r="V80" s="81">
        <v>5.1488721204321228E-2</v>
      </c>
      <c r="W80" s="61"/>
      <c r="X80" s="81">
        <v>0.539220674111481</v>
      </c>
      <c r="Y80" s="61"/>
      <c r="Z80" s="62">
        <v>0.11000383374381326</v>
      </c>
      <c r="AA80" s="60">
        <v>2.845702121229754E-2</v>
      </c>
      <c r="AB80" s="60">
        <v>0.26427426109073582</v>
      </c>
      <c r="AC80" s="61"/>
      <c r="AD80" s="61"/>
      <c r="AE80" s="61"/>
      <c r="AF80" s="61"/>
    </row>
    <row r="81" spans="1:32" ht="15">
      <c r="A81" s="23"/>
      <c r="B81" s="28"/>
      <c r="C81" s="29"/>
      <c r="D81" s="54"/>
      <c r="E81" s="70"/>
      <c r="F81" s="54"/>
      <c r="G81" s="70"/>
      <c r="H81" s="54"/>
      <c r="I81" s="70"/>
      <c r="J81" s="70"/>
      <c r="K81" s="70"/>
      <c r="L81" s="54"/>
      <c r="M81" s="54"/>
      <c r="N81" s="54"/>
      <c r="O81" s="54"/>
      <c r="Q81" s="12"/>
      <c r="R81" s="23"/>
      <c r="S81" s="28"/>
      <c r="T81" s="70"/>
      <c r="U81" s="54"/>
      <c r="V81" s="70"/>
      <c r="W81" s="54"/>
      <c r="X81" s="70"/>
      <c r="Y81" s="54"/>
      <c r="Z81" s="70"/>
      <c r="AA81" s="70"/>
      <c r="AB81" s="70"/>
      <c r="AC81" s="54"/>
      <c r="AD81" s="54"/>
      <c r="AE81" s="54"/>
      <c r="AF81" s="54"/>
    </row>
    <row r="82" spans="1:32" ht="15.75" thickBot="1">
      <c r="A82" s="28"/>
      <c r="B82" s="28"/>
      <c r="C82" s="29"/>
      <c r="D82" s="54"/>
      <c r="E82" s="70"/>
      <c r="F82" s="54"/>
      <c r="G82" s="70"/>
      <c r="H82" s="54"/>
      <c r="I82" s="70"/>
      <c r="J82" s="70"/>
      <c r="K82" s="70"/>
      <c r="L82" s="54"/>
      <c r="M82" s="54"/>
      <c r="N82" s="54"/>
      <c r="O82" s="54"/>
      <c r="Q82" s="12"/>
      <c r="R82" s="23"/>
      <c r="S82" s="28"/>
      <c r="T82" s="70"/>
      <c r="U82" s="54"/>
      <c r="V82" s="70"/>
      <c r="W82" s="54"/>
      <c r="X82" s="70"/>
      <c r="Y82" s="54"/>
      <c r="Z82" s="70"/>
      <c r="AA82" s="70"/>
      <c r="AB82" s="70"/>
      <c r="AC82" s="54"/>
      <c r="AD82" s="54"/>
      <c r="AE82" s="54"/>
      <c r="AF82" s="54"/>
    </row>
    <row r="83" spans="1:32" s="2" customFormat="1" ht="19.5" thickBot="1">
      <c r="A83" s="99" t="s">
        <v>19</v>
      </c>
      <c r="B83" s="100"/>
      <c r="C83" s="101"/>
      <c r="D83" s="102" t="s">
        <v>70</v>
      </c>
      <c r="E83" s="103"/>
      <c r="F83" s="103"/>
      <c r="G83" s="104"/>
      <c r="H83" s="105" t="s">
        <v>71</v>
      </c>
      <c r="I83" s="103"/>
      <c r="J83" s="103"/>
      <c r="K83" s="104"/>
      <c r="L83" s="105" t="s">
        <v>72</v>
      </c>
      <c r="M83" s="103"/>
      <c r="N83" s="103"/>
      <c r="O83" s="106"/>
      <c r="Q83" s="11"/>
      <c r="R83" s="99" t="s">
        <v>19</v>
      </c>
      <c r="S83" s="100"/>
      <c r="T83" s="101"/>
      <c r="U83" s="102" t="s">
        <v>70</v>
      </c>
      <c r="V83" s="103"/>
      <c r="W83" s="103"/>
      <c r="X83" s="104"/>
      <c r="Y83" s="102" t="s">
        <v>71</v>
      </c>
      <c r="Z83" s="103"/>
      <c r="AA83" s="103"/>
      <c r="AB83" s="104"/>
      <c r="AC83" s="102" t="s">
        <v>72</v>
      </c>
      <c r="AD83" s="103"/>
      <c r="AE83" s="103"/>
      <c r="AF83" s="104"/>
    </row>
    <row r="84" spans="1:32" s="2" customFormat="1" ht="15.75" thickBot="1">
      <c r="A84" s="7" t="s">
        <v>6</v>
      </c>
      <c r="B84" s="76" t="s">
        <v>7</v>
      </c>
      <c r="C84" s="8" t="s">
        <v>8</v>
      </c>
      <c r="D84" s="55" t="s">
        <v>9</v>
      </c>
      <c r="E84" s="55" t="s">
        <v>10</v>
      </c>
      <c r="F84" s="55" t="s">
        <v>11</v>
      </c>
      <c r="G84" s="55" t="s">
        <v>12</v>
      </c>
      <c r="H84" s="55" t="s">
        <v>9</v>
      </c>
      <c r="I84" s="55" t="s">
        <v>10</v>
      </c>
      <c r="J84" s="55" t="s">
        <v>11</v>
      </c>
      <c r="K84" s="55" t="s">
        <v>12</v>
      </c>
      <c r="L84" s="55" t="s">
        <v>9</v>
      </c>
      <c r="M84" s="55" t="s">
        <v>10</v>
      </c>
      <c r="N84" s="55" t="s">
        <v>11</v>
      </c>
      <c r="O84" s="55" t="s">
        <v>12</v>
      </c>
      <c r="Q84" s="11"/>
      <c r="R84" s="7" t="s">
        <v>6</v>
      </c>
      <c r="S84" s="76" t="s">
        <v>7</v>
      </c>
      <c r="T84" s="76" t="s">
        <v>8</v>
      </c>
      <c r="U84" s="55" t="s">
        <v>9</v>
      </c>
      <c r="V84" s="55" t="s">
        <v>10</v>
      </c>
      <c r="W84" s="55" t="s">
        <v>11</v>
      </c>
      <c r="X84" s="55" t="s">
        <v>12</v>
      </c>
      <c r="Y84" s="55" t="s">
        <v>9</v>
      </c>
      <c r="Z84" s="55" t="s">
        <v>10</v>
      </c>
      <c r="AA84" s="55" t="s">
        <v>11</v>
      </c>
      <c r="AB84" s="55" t="s">
        <v>12</v>
      </c>
      <c r="AC84" s="55" t="s">
        <v>9</v>
      </c>
      <c r="AD84" s="55" t="s">
        <v>10</v>
      </c>
      <c r="AE84" s="55" t="s">
        <v>11</v>
      </c>
      <c r="AF84" s="55" t="s">
        <v>12</v>
      </c>
    </row>
    <row r="85" spans="1:32" s="2" customFormat="1" ht="15.75" thickBot="1">
      <c r="A85" s="107" t="s">
        <v>42</v>
      </c>
      <c r="B85" s="107" t="s">
        <v>51</v>
      </c>
      <c r="C85" s="9" t="s">
        <v>13</v>
      </c>
      <c r="D85" s="56">
        <v>-41485.870971559547</v>
      </c>
      <c r="E85" s="56"/>
      <c r="F85" s="56">
        <v>-80219.922329119407</v>
      </c>
      <c r="G85" s="56">
        <v>-21457.335330342874</v>
      </c>
      <c r="H85" s="56">
        <v>347569.5346025303</v>
      </c>
      <c r="I85" s="56"/>
      <c r="J85" s="56">
        <v>158375.65478327032</v>
      </c>
      <c r="K85" s="56">
        <v>832520.4766537305</v>
      </c>
      <c r="L85" s="56"/>
      <c r="M85" s="56"/>
      <c r="N85" s="56"/>
      <c r="O85" s="56"/>
      <c r="Q85" s="11"/>
      <c r="R85" s="107" t="s">
        <v>2</v>
      </c>
      <c r="S85" s="107" t="s">
        <v>51</v>
      </c>
      <c r="T85" s="58" t="s">
        <v>13</v>
      </c>
      <c r="U85" s="68">
        <v>-4.8278918228463266E-4</v>
      </c>
      <c r="V85" s="56"/>
      <c r="W85" s="68">
        <v>-1.5485587574593646E-3</v>
      </c>
      <c r="X85" s="68">
        <v>-1.8466909891076688E-4</v>
      </c>
      <c r="Y85" s="68">
        <v>6.4102680042779983E-4</v>
      </c>
      <c r="Z85" s="56"/>
      <c r="AA85" s="68">
        <v>2.1151101938996983E-3</v>
      </c>
      <c r="AB85" s="68">
        <v>-7.8721463111540088E-4</v>
      </c>
      <c r="AC85" s="56"/>
      <c r="AD85" s="56"/>
      <c r="AE85" s="56"/>
      <c r="AF85" s="56"/>
    </row>
    <row r="86" spans="1:32" s="2" customFormat="1" ht="15.75" thickBot="1">
      <c r="A86" s="108"/>
      <c r="B86" s="109"/>
      <c r="C86" s="9" t="s">
        <v>14</v>
      </c>
      <c r="D86" s="56">
        <v>-52777.722320946865</v>
      </c>
      <c r="E86" s="56"/>
      <c r="F86" s="56">
        <v>-138111.16585299466</v>
      </c>
      <c r="G86" s="56">
        <v>-46582.438773212954</v>
      </c>
      <c r="H86" s="56">
        <v>347569.5346025303</v>
      </c>
      <c r="I86" s="56"/>
      <c r="J86" s="56">
        <v>158375.65478327032</v>
      </c>
      <c r="K86" s="56">
        <v>832520.4766537305</v>
      </c>
      <c r="L86" s="56"/>
      <c r="M86" s="56"/>
      <c r="N86" s="56"/>
      <c r="O86" s="56"/>
      <c r="Q86" s="11"/>
      <c r="R86" s="108"/>
      <c r="S86" s="109"/>
      <c r="T86" s="58" t="s">
        <v>14</v>
      </c>
      <c r="U86" s="68">
        <v>-5.8710166635228198E-4</v>
      </c>
      <c r="V86" s="56"/>
      <c r="W86" s="68">
        <v>1.6977554979700354E-4</v>
      </c>
      <c r="X86" s="68">
        <v>-3.737056477580436E-5</v>
      </c>
      <c r="Y86" s="68">
        <v>6.4102680042779983E-4</v>
      </c>
      <c r="Z86" s="56"/>
      <c r="AA86" s="68">
        <v>2.1151101938996983E-3</v>
      </c>
      <c r="AB86" s="68">
        <v>-7.8721463111540088E-4</v>
      </c>
      <c r="AC86" s="56"/>
      <c r="AD86" s="56"/>
      <c r="AE86" s="56"/>
      <c r="AF86" s="56"/>
    </row>
    <row r="87" spans="1:32" s="2" customFormat="1" ht="15.75" thickBot="1">
      <c r="A87" s="108"/>
      <c r="B87" s="110" t="s">
        <v>15</v>
      </c>
      <c r="C87" s="9" t="s">
        <v>13</v>
      </c>
      <c r="D87" s="68">
        <v>-9.1343126338038899E-3</v>
      </c>
      <c r="E87" s="56"/>
      <c r="F87" s="68">
        <v>-1.6276587755914403E-2</v>
      </c>
      <c r="G87" s="68">
        <v>-2.2657483341717534E-3</v>
      </c>
      <c r="H87" s="68">
        <v>7.262483531617564E-2</v>
      </c>
      <c r="I87" s="56"/>
      <c r="J87" s="68">
        <v>3.5217739746097619E-2</v>
      </c>
      <c r="K87" s="68">
        <v>8.8108183038446877E-2</v>
      </c>
      <c r="L87" s="56"/>
      <c r="M87" s="56"/>
      <c r="N87" s="56"/>
      <c r="O87" s="56"/>
      <c r="Q87" s="11"/>
      <c r="R87" s="108"/>
      <c r="S87" s="110" t="s">
        <v>15</v>
      </c>
      <c r="T87" s="58" t="s">
        <v>13</v>
      </c>
      <c r="U87" s="68">
        <v>-1.9861852510831949E-2</v>
      </c>
      <c r="V87" s="56"/>
      <c r="W87" s="68">
        <v>-3.2612225100716152E-2</v>
      </c>
      <c r="X87" s="68">
        <v>-6.7361966579192615E-3</v>
      </c>
      <c r="Y87" s="68">
        <v>2.7653714265303518E-2</v>
      </c>
      <c r="Z87" s="56"/>
      <c r="AA87" s="68">
        <v>4.0360958163122344E-2</v>
      </c>
      <c r="AB87" s="68">
        <v>-2.8960514232440365E-2</v>
      </c>
      <c r="AC87" s="56"/>
      <c r="AD87" s="56"/>
      <c r="AE87" s="56"/>
      <c r="AF87" s="56"/>
    </row>
    <row r="88" spans="1:32" s="2" customFormat="1" ht="15.75" thickBot="1">
      <c r="A88" s="108"/>
      <c r="B88" s="111"/>
      <c r="C88" s="9" t="s">
        <v>14</v>
      </c>
      <c r="D88" s="68">
        <v>-1.1515106335719297E-2</v>
      </c>
      <c r="E88" s="56"/>
      <c r="F88" s="68">
        <v>-2.8277910247721832E-2</v>
      </c>
      <c r="G88" s="68">
        <v>-4.9202927656695362E-3</v>
      </c>
      <c r="H88" s="68">
        <v>7.262483531617564E-2</v>
      </c>
      <c r="I88" s="56"/>
      <c r="J88" s="68">
        <v>3.5217739746097619E-2</v>
      </c>
      <c r="K88" s="68">
        <v>8.8108183038446877E-2</v>
      </c>
      <c r="L88" s="56"/>
      <c r="M88" s="56"/>
      <c r="N88" s="56"/>
      <c r="O88" s="56"/>
      <c r="Q88" s="11"/>
      <c r="R88" s="108"/>
      <c r="S88" s="111"/>
      <c r="T88" s="58" t="s">
        <v>14</v>
      </c>
      <c r="U88" s="68">
        <v>-2.419929848636846E-2</v>
      </c>
      <c r="V88" s="56"/>
      <c r="W88" s="68">
        <v>3.4245267849408977E-3</v>
      </c>
      <c r="X88" s="68">
        <v>-1.3611398601269995E-3</v>
      </c>
      <c r="Y88" s="68">
        <v>2.7653714265303518E-2</v>
      </c>
      <c r="Z88" s="56"/>
      <c r="AA88" s="68">
        <v>4.0360958163122344E-2</v>
      </c>
      <c r="AB88" s="68">
        <v>-2.8960514232440365E-2</v>
      </c>
      <c r="AC88" s="56"/>
      <c r="AD88" s="56"/>
      <c r="AE88" s="56"/>
      <c r="AF88" s="56"/>
    </row>
    <row r="89" spans="1:32" s="2" customFormat="1" ht="15.75" thickBot="1">
      <c r="A89" s="108"/>
      <c r="B89" s="110" t="s">
        <v>16</v>
      </c>
      <c r="C89" s="9" t="s">
        <v>13</v>
      </c>
      <c r="D89" s="58" t="s">
        <v>103</v>
      </c>
      <c r="E89" s="56"/>
      <c r="F89" s="58" t="s">
        <v>103</v>
      </c>
      <c r="G89" s="58" t="s">
        <v>103</v>
      </c>
      <c r="H89" s="58" t="s">
        <v>104</v>
      </c>
      <c r="I89" s="56"/>
      <c r="J89" s="58" t="s">
        <v>104</v>
      </c>
      <c r="K89" s="58" t="s">
        <v>104</v>
      </c>
      <c r="L89" s="56"/>
      <c r="M89" s="56"/>
      <c r="N89" s="56"/>
      <c r="O89" s="56"/>
      <c r="Q89" s="11"/>
      <c r="R89" s="108"/>
      <c r="S89" s="110" t="s">
        <v>16</v>
      </c>
      <c r="T89" s="58" t="s">
        <v>13</v>
      </c>
      <c r="U89" s="58" t="s">
        <v>103</v>
      </c>
      <c r="V89" s="56"/>
      <c r="W89" s="58" t="s">
        <v>103</v>
      </c>
      <c r="X89" s="58" t="s">
        <v>103</v>
      </c>
      <c r="Y89" s="58" t="s">
        <v>104</v>
      </c>
      <c r="Z89" s="56"/>
      <c r="AA89" s="58" t="s">
        <v>104</v>
      </c>
      <c r="AB89" s="58" t="s">
        <v>103</v>
      </c>
      <c r="AC89" s="56"/>
      <c r="AD89" s="56"/>
      <c r="AE89" s="56"/>
      <c r="AF89" s="56"/>
    </row>
    <row r="90" spans="1:32" s="2" customFormat="1" ht="15.75" thickBot="1">
      <c r="A90" s="108"/>
      <c r="B90" s="111"/>
      <c r="C90" s="9" t="s">
        <v>14</v>
      </c>
      <c r="D90" s="58" t="s">
        <v>103</v>
      </c>
      <c r="E90" s="56"/>
      <c r="F90" s="58" t="s">
        <v>103</v>
      </c>
      <c r="G90" s="58" t="s">
        <v>103</v>
      </c>
      <c r="H90" s="58" t="s">
        <v>104</v>
      </c>
      <c r="I90" s="56"/>
      <c r="J90" s="58" t="s">
        <v>104</v>
      </c>
      <c r="K90" s="58" t="s">
        <v>104</v>
      </c>
      <c r="L90" s="56"/>
      <c r="M90" s="56"/>
      <c r="N90" s="56"/>
      <c r="O90" s="56"/>
      <c r="Q90" s="11"/>
      <c r="R90" s="108"/>
      <c r="S90" s="111"/>
      <c r="T90" s="58" t="s">
        <v>14</v>
      </c>
      <c r="U90" s="58" t="s">
        <v>103</v>
      </c>
      <c r="V90" s="56"/>
      <c r="W90" s="58" t="s">
        <v>104</v>
      </c>
      <c r="X90" s="58" t="s">
        <v>103</v>
      </c>
      <c r="Y90" s="58" t="s">
        <v>104</v>
      </c>
      <c r="Z90" s="56"/>
      <c r="AA90" s="58" t="s">
        <v>104</v>
      </c>
      <c r="AB90" s="58" t="s">
        <v>103</v>
      </c>
      <c r="AC90" s="56"/>
      <c r="AD90" s="56"/>
      <c r="AE90" s="56"/>
      <c r="AF90" s="56"/>
    </row>
    <row r="91" spans="1:32" s="2" customFormat="1" ht="15.75" customHeight="1" thickBot="1">
      <c r="A91" s="108"/>
      <c r="B91" s="112" t="s">
        <v>63</v>
      </c>
      <c r="C91" s="16" t="s">
        <v>13</v>
      </c>
      <c r="D91" s="56" t="s">
        <v>105</v>
      </c>
      <c r="E91" s="56"/>
      <c r="F91" s="56" t="s">
        <v>105</v>
      </c>
      <c r="G91" s="56" t="s">
        <v>105</v>
      </c>
      <c r="H91" s="56"/>
      <c r="I91" s="56"/>
      <c r="J91" s="56"/>
      <c r="K91" s="56"/>
      <c r="L91" s="56"/>
      <c r="M91" s="56"/>
      <c r="N91" s="56"/>
      <c r="O91" s="56"/>
      <c r="Q91" s="11"/>
      <c r="R91" s="108"/>
      <c r="S91" s="112" t="s">
        <v>63</v>
      </c>
      <c r="T91" s="64" t="s">
        <v>13</v>
      </c>
      <c r="U91" s="56" t="s">
        <v>105</v>
      </c>
      <c r="V91" s="56"/>
      <c r="W91" s="56" t="s">
        <v>107</v>
      </c>
      <c r="X91" s="56" t="s">
        <v>105</v>
      </c>
      <c r="Y91" s="56"/>
      <c r="Z91" s="56"/>
      <c r="AA91" s="56"/>
      <c r="AB91" s="56"/>
      <c r="AC91" s="56"/>
      <c r="AD91" s="56"/>
      <c r="AE91" s="56"/>
      <c r="AF91" s="56"/>
    </row>
    <row r="92" spans="1:32" ht="15.75" thickBot="1">
      <c r="A92" s="108"/>
      <c r="B92" s="112"/>
      <c r="C92" s="16" t="s">
        <v>14</v>
      </c>
      <c r="D92" s="56" t="s">
        <v>105</v>
      </c>
      <c r="E92" s="56"/>
      <c r="F92" s="56" t="s">
        <v>105</v>
      </c>
      <c r="G92" s="56" t="s">
        <v>105</v>
      </c>
      <c r="H92" s="56"/>
      <c r="I92" s="56"/>
      <c r="J92" s="56"/>
      <c r="K92" s="56"/>
      <c r="L92" s="56"/>
      <c r="M92" s="56"/>
      <c r="N92" s="56"/>
      <c r="O92" s="56"/>
      <c r="Q92" s="12"/>
      <c r="R92" s="108"/>
      <c r="S92" s="112"/>
      <c r="T92" s="64" t="s">
        <v>14</v>
      </c>
      <c r="U92" s="56" t="s">
        <v>107</v>
      </c>
      <c r="V92" s="56"/>
      <c r="W92" s="56" t="s">
        <v>105</v>
      </c>
      <c r="X92" s="56" t="s">
        <v>105</v>
      </c>
      <c r="Y92" s="56"/>
      <c r="Z92" s="56"/>
      <c r="AA92" s="56"/>
      <c r="AB92" s="56"/>
      <c r="AC92" s="56"/>
      <c r="AD92" s="56"/>
      <c r="AE92" s="56"/>
      <c r="AF92" s="56"/>
    </row>
    <row r="93" spans="1:32" ht="15" customHeight="1" thickBot="1">
      <c r="A93" s="108"/>
      <c r="B93" s="112" t="s">
        <v>60</v>
      </c>
      <c r="C93" s="16" t="s">
        <v>13</v>
      </c>
      <c r="D93" s="71">
        <v>0.8859411183794883</v>
      </c>
      <c r="E93" s="56"/>
      <c r="F93" s="71">
        <v>0.87524906640048372</v>
      </c>
      <c r="G93" s="71">
        <v>0.95321351574872715</v>
      </c>
      <c r="H93" s="56"/>
      <c r="I93" s="56"/>
      <c r="J93" s="56"/>
      <c r="K93" s="56"/>
      <c r="L93" s="56"/>
      <c r="M93" s="56"/>
      <c r="N93" s="56"/>
      <c r="O93" s="56"/>
      <c r="Q93" s="12"/>
      <c r="R93" s="108"/>
      <c r="S93" s="112" t="s">
        <v>60</v>
      </c>
      <c r="T93" s="64" t="s">
        <v>13</v>
      </c>
      <c r="U93" s="71">
        <v>0.42048531030018854</v>
      </c>
      <c r="V93" s="56"/>
      <c r="W93" s="71">
        <v>6.0459967801150621E-2</v>
      </c>
      <c r="X93" s="71">
        <v>0.63618509739493068</v>
      </c>
      <c r="Y93" s="56"/>
      <c r="Z93" s="56"/>
      <c r="AA93" s="56"/>
      <c r="AB93" s="56"/>
      <c r="AC93" s="56"/>
      <c r="AD93" s="56"/>
      <c r="AE93" s="56"/>
      <c r="AF93" s="56"/>
    </row>
    <row r="94" spans="1:32" ht="15" customHeight="1" thickBot="1">
      <c r="A94" s="109"/>
      <c r="B94" s="112"/>
      <c r="C94" s="16" t="s">
        <v>14</v>
      </c>
      <c r="D94" s="71">
        <v>0.70770874389887872</v>
      </c>
      <c r="E94" s="56"/>
      <c r="F94" s="71">
        <v>0.63549692320100126</v>
      </c>
      <c r="G94" s="71">
        <v>0.8331401753117158</v>
      </c>
      <c r="H94" s="56"/>
      <c r="I94" s="56"/>
      <c r="J94" s="56"/>
      <c r="K94" s="56"/>
      <c r="L94" s="56"/>
      <c r="M94" s="56"/>
      <c r="N94" s="56"/>
      <c r="O94" s="56"/>
      <c r="Q94" s="12"/>
      <c r="R94" s="109"/>
      <c r="S94" s="112"/>
      <c r="T94" s="64" t="s">
        <v>14</v>
      </c>
      <c r="U94" s="71">
        <v>4.4905679093084142E-2</v>
      </c>
      <c r="V94" s="56"/>
      <c r="W94" s="71">
        <v>0.89765569568411041</v>
      </c>
      <c r="X94" s="71">
        <v>0.90564873598557549</v>
      </c>
      <c r="Y94" s="56"/>
      <c r="Z94" s="56"/>
      <c r="AA94" s="56"/>
      <c r="AB94" s="56"/>
      <c r="AC94" s="56"/>
      <c r="AD94" s="56"/>
      <c r="AE94" s="56"/>
      <c r="AF94" s="56"/>
    </row>
    <row r="95" spans="1:32" s="13" customFormat="1">
      <c r="A95" s="6"/>
      <c r="B95" s="72"/>
      <c r="C95" s="2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Q95" s="14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</row>
    <row r="96" spans="1:32" s="4" customFormat="1" ht="14.25" thickBot="1">
      <c r="A96" s="5"/>
      <c r="B96" s="50"/>
      <c r="C96" s="21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Q96" s="12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</row>
    <row r="97" spans="1:32" s="4" customFormat="1" ht="19.5" thickBot="1">
      <c r="A97" s="99" t="s">
        <v>20</v>
      </c>
      <c r="B97" s="100"/>
      <c r="C97" s="101"/>
      <c r="D97" s="102" t="s">
        <v>21</v>
      </c>
      <c r="E97" s="103"/>
      <c r="F97" s="103"/>
      <c r="G97" s="104"/>
      <c r="H97" s="105" t="s">
        <v>55</v>
      </c>
      <c r="I97" s="103"/>
      <c r="J97" s="103"/>
      <c r="K97" s="104"/>
      <c r="L97" s="105" t="s">
        <v>22</v>
      </c>
      <c r="M97" s="103"/>
      <c r="N97" s="103"/>
      <c r="O97" s="106"/>
      <c r="Q97" s="12"/>
      <c r="R97" s="99" t="s">
        <v>20</v>
      </c>
      <c r="S97" s="100"/>
      <c r="T97" s="101"/>
      <c r="U97" s="102" t="s">
        <v>21</v>
      </c>
      <c r="V97" s="103"/>
      <c r="W97" s="103"/>
      <c r="X97" s="104"/>
      <c r="Y97" s="102" t="s">
        <v>55</v>
      </c>
      <c r="Z97" s="103"/>
      <c r="AA97" s="103"/>
      <c r="AB97" s="104"/>
      <c r="AC97" s="102" t="s">
        <v>22</v>
      </c>
      <c r="AD97" s="103"/>
      <c r="AE97" s="103"/>
      <c r="AF97" s="104"/>
    </row>
    <row r="98" spans="1:32" s="4" customFormat="1" ht="15.75" thickBot="1">
      <c r="A98" s="7" t="s">
        <v>6</v>
      </c>
      <c r="B98" s="76" t="s">
        <v>7</v>
      </c>
      <c r="C98" s="8" t="s">
        <v>8</v>
      </c>
      <c r="D98" s="55" t="s">
        <v>9</v>
      </c>
      <c r="E98" s="55" t="s">
        <v>10</v>
      </c>
      <c r="F98" s="55" t="s">
        <v>11</v>
      </c>
      <c r="G98" s="55" t="s">
        <v>12</v>
      </c>
      <c r="H98" s="55" t="s">
        <v>9</v>
      </c>
      <c r="I98" s="55" t="s">
        <v>10</v>
      </c>
      <c r="J98" s="55" t="s">
        <v>11</v>
      </c>
      <c r="K98" s="55" t="s">
        <v>12</v>
      </c>
      <c r="L98" s="55" t="s">
        <v>9</v>
      </c>
      <c r="M98" s="55" t="s">
        <v>10</v>
      </c>
      <c r="N98" s="55" t="s">
        <v>11</v>
      </c>
      <c r="O98" s="55" t="s">
        <v>12</v>
      </c>
      <c r="Q98" s="12"/>
      <c r="R98" s="7" t="s">
        <v>6</v>
      </c>
      <c r="S98" s="76" t="s">
        <v>7</v>
      </c>
      <c r="T98" s="76" t="s">
        <v>8</v>
      </c>
      <c r="U98" s="55" t="s">
        <v>9</v>
      </c>
      <c r="V98" s="55" t="s">
        <v>10</v>
      </c>
      <c r="W98" s="55" t="s">
        <v>11</v>
      </c>
      <c r="X98" s="55" t="s">
        <v>12</v>
      </c>
      <c r="Y98" s="55" t="s">
        <v>9</v>
      </c>
      <c r="Z98" s="55" t="s">
        <v>10</v>
      </c>
      <c r="AA98" s="55" t="s">
        <v>11</v>
      </c>
      <c r="AB98" s="55" t="s">
        <v>12</v>
      </c>
      <c r="AC98" s="55" t="s">
        <v>9</v>
      </c>
      <c r="AD98" s="55" t="s">
        <v>10</v>
      </c>
      <c r="AE98" s="55" t="s">
        <v>11</v>
      </c>
      <c r="AF98" s="55" t="s">
        <v>12</v>
      </c>
    </row>
    <row r="99" spans="1:32" s="4" customFormat="1" ht="15.75" thickBot="1">
      <c r="A99" s="107" t="s">
        <v>2</v>
      </c>
      <c r="B99" s="107" t="s">
        <v>51</v>
      </c>
      <c r="C99" s="9" t="s">
        <v>13</v>
      </c>
      <c r="D99" s="56">
        <v>666678.31584306806</v>
      </c>
      <c r="E99" s="56">
        <v>-3229761.2247444689</v>
      </c>
      <c r="F99" s="56">
        <v>243842.05660033226</v>
      </c>
      <c r="G99" s="56">
        <v>-6107909.6364973485</v>
      </c>
      <c r="H99" s="56">
        <v>2154388.2109013498</v>
      </c>
      <c r="I99" s="56">
        <v>10629854.881658494</v>
      </c>
      <c r="J99" s="56">
        <v>-1671207.1573927402</v>
      </c>
      <c r="K99" s="56">
        <v>1070680.4614073038</v>
      </c>
      <c r="L99" s="56">
        <v>2267184.6920624971</v>
      </c>
      <c r="M99" s="56">
        <v>4152198.4577620029</v>
      </c>
      <c r="N99" s="56">
        <v>-107106.18116945028</v>
      </c>
      <c r="O99" s="56">
        <v>7239256.9431549907</v>
      </c>
      <c r="Q99" s="12"/>
      <c r="R99" s="107" t="s">
        <v>2</v>
      </c>
      <c r="S99" s="107" t="s">
        <v>51</v>
      </c>
      <c r="T99" s="58" t="s">
        <v>13</v>
      </c>
      <c r="U99" s="77">
        <v>8.6086366669302361E-4</v>
      </c>
      <c r="V99" s="77">
        <v>4.7280505264086642E-3</v>
      </c>
      <c r="W99" s="77">
        <v>-2.4770361214047909E-4</v>
      </c>
      <c r="X99" s="77">
        <v>4.3526243078800819E-4</v>
      </c>
      <c r="Y99" s="77">
        <v>9.4669158888198435E-4</v>
      </c>
      <c r="Z99" s="77">
        <v>7.5759806370360172E-3</v>
      </c>
      <c r="AA99" s="77">
        <v>1.3063339290866477E-3</v>
      </c>
      <c r="AB99" s="77">
        <v>4.29354990418232E-3</v>
      </c>
      <c r="AC99" s="77">
        <v>1.0116487926550982E-3</v>
      </c>
      <c r="AD99" s="77">
        <v>1.896553823826852E-2</v>
      </c>
      <c r="AE99" s="77">
        <v>-3.520482421848492E-3</v>
      </c>
      <c r="AF99" s="77">
        <v>-1.8828470937979902E-3</v>
      </c>
    </row>
    <row r="100" spans="1:32" s="4" customFormat="1" ht="15.75" thickBot="1">
      <c r="A100" s="108"/>
      <c r="B100" s="109"/>
      <c r="C100" s="9" t="s">
        <v>14</v>
      </c>
      <c r="D100" s="56">
        <v>2132682.2513068765</v>
      </c>
      <c r="E100" s="56">
        <v>-2887036.0344862528</v>
      </c>
      <c r="F100" s="56">
        <v>1929109.4537147284</v>
      </c>
      <c r="G100" s="56">
        <v>-2838773.5865560174</v>
      </c>
      <c r="H100" s="56">
        <v>4198839.3819115162</v>
      </c>
      <c r="I100" s="56">
        <v>9199506.8813808858</v>
      </c>
      <c r="J100" s="56">
        <v>-1218731.3484593183</v>
      </c>
      <c r="K100" s="56">
        <v>100195.05158680677</v>
      </c>
      <c r="L100" s="56"/>
      <c r="M100" s="56"/>
      <c r="N100" s="56"/>
      <c r="O100" s="56"/>
      <c r="Q100" s="12"/>
      <c r="R100" s="108"/>
      <c r="S100" s="109"/>
      <c r="T100" s="58" t="s">
        <v>14</v>
      </c>
      <c r="U100" s="77">
        <v>1.1133034128349567E-3</v>
      </c>
      <c r="V100" s="77">
        <v>7.8148150380449866E-4</v>
      </c>
      <c r="W100" s="77">
        <v>8.0002437840231977E-4</v>
      </c>
      <c r="X100" s="77">
        <v>6.27175883930714E-4</v>
      </c>
      <c r="Y100" s="77">
        <v>4.0544887384601214E-4</v>
      </c>
      <c r="Z100" s="77">
        <v>1.1384006320893647E-3</v>
      </c>
      <c r="AA100" s="77">
        <v>3.5337180792559958E-3</v>
      </c>
      <c r="AB100" s="77">
        <v>3.8945660685766326E-3</v>
      </c>
      <c r="AC100" s="56"/>
      <c r="AD100" s="56"/>
      <c r="AE100" s="56"/>
      <c r="AF100" s="56"/>
    </row>
    <row r="101" spans="1:32" s="4" customFormat="1" ht="15.75" thickBot="1">
      <c r="A101" s="108"/>
      <c r="B101" s="110" t="s">
        <v>15</v>
      </c>
      <c r="C101" s="9" t="s">
        <v>13</v>
      </c>
      <c r="D101" s="57">
        <v>1.0194100423076849E-2</v>
      </c>
      <c r="E101" s="57">
        <v>-0.13283672863293369</v>
      </c>
      <c r="F101" s="57">
        <v>4.4211181662534597E-3</v>
      </c>
      <c r="G101" s="57">
        <v>-4.2162436478842921E-2</v>
      </c>
      <c r="H101" s="57">
        <v>1.7905527355071848E-2</v>
      </c>
      <c r="I101" s="57">
        <v>0.13303404635511556</v>
      </c>
      <c r="J101" s="57">
        <v>-1.7351713575360438E-2</v>
      </c>
      <c r="K101" s="57">
        <v>3.6106174884935013E-3</v>
      </c>
      <c r="L101" s="57">
        <v>1.7912419379297825E-2</v>
      </c>
      <c r="M101" s="57">
        <v>3.9200714281444303E-2</v>
      </c>
      <c r="N101" s="57">
        <v>-1.2187672632453671E-3</v>
      </c>
      <c r="O101" s="57">
        <v>2.2596353513277597E-2</v>
      </c>
      <c r="Q101" s="12"/>
      <c r="R101" s="108"/>
      <c r="S101" s="110" t="s">
        <v>15</v>
      </c>
      <c r="T101" s="58" t="s">
        <v>13</v>
      </c>
      <c r="U101" s="57">
        <v>1.2392280009275797E-2</v>
      </c>
      <c r="V101" s="57">
        <v>3.7984288249175518E-2</v>
      </c>
      <c r="W101" s="57">
        <v>-2.7129419714912711E-3</v>
      </c>
      <c r="X101" s="57">
        <v>5.2318754682754961E-3</v>
      </c>
      <c r="Y101" s="57">
        <v>9.3163686044011925E-3</v>
      </c>
      <c r="Z101" s="57">
        <v>2.7730126076622418E-2</v>
      </c>
      <c r="AA101" s="57">
        <v>1.0940697940129657E-2</v>
      </c>
      <c r="AB101" s="57">
        <v>3.3039838324964522E-2</v>
      </c>
      <c r="AC101" s="57">
        <v>1.0884476969327992E-2</v>
      </c>
      <c r="AD101" s="57">
        <v>5.2519571437360336E-2</v>
      </c>
      <c r="AE101" s="57">
        <v>-3.4824030386296313E-2</v>
      </c>
      <c r="AF101" s="57">
        <v>-1.4830987551295869E-2</v>
      </c>
    </row>
    <row r="102" spans="1:32" s="4" customFormat="1" ht="15.75" thickBot="1">
      <c r="A102" s="108"/>
      <c r="B102" s="111"/>
      <c r="C102" s="9" t="s">
        <v>14</v>
      </c>
      <c r="D102" s="57">
        <v>3.1270961625388338E-2</v>
      </c>
      <c r="E102" s="57">
        <v>-0.10519447378774639</v>
      </c>
      <c r="F102" s="57">
        <v>3.3672756216730423E-2</v>
      </c>
      <c r="G102" s="57">
        <v>-1.8561991427686528E-2</v>
      </c>
      <c r="H102" s="57">
        <v>3.4233436784940452E-2</v>
      </c>
      <c r="I102" s="57">
        <v>0.11697906828867684</v>
      </c>
      <c r="J102" s="57">
        <v>-1.2478211584179166E-2</v>
      </c>
      <c r="K102" s="57">
        <v>3.351405777616998E-4</v>
      </c>
      <c r="L102" s="57"/>
      <c r="M102" s="63"/>
      <c r="N102" s="57"/>
      <c r="O102" s="57"/>
      <c r="Q102" s="12"/>
      <c r="R102" s="108"/>
      <c r="S102" s="111"/>
      <c r="T102" s="58" t="s">
        <v>14</v>
      </c>
      <c r="U102" s="57">
        <v>1.5783166601098304E-2</v>
      </c>
      <c r="V102" s="57">
        <v>6.0604271382175279E-3</v>
      </c>
      <c r="W102" s="57">
        <v>8.6405662843094776E-3</v>
      </c>
      <c r="X102" s="57">
        <v>7.3750077056832014E-3</v>
      </c>
      <c r="Y102" s="57">
        <v>4.0016312994140494E-3</v>
      </c>
      <c r="Z102" s="57">
        <v>4.2172582930716275E-3</v>
      </c>
      <c r="AA102" s="57">
        <v>2.8984495182294932E-2</v>
      </c>
      <c r="AB102" s="57">
        <v>2.9990725217247827E-2</v>
      </c>
      <c r="AC102" s="56"/>
      <c r="AD102" s="56"/>
      <c r="AE102" s="56"/>
      <c r="AF102" s="56"/>
    </row>
    <row r="103" spans="1:32" s="4" customFormat="1" ht="15.75" thickBot="1">
      <c r="A103" s="108"/>
      <c r="B103" s="110" t="s">
        <v>16</v>
      </c>
      <c r="C103" s="9" t="s">
        <v>13</v>
      </c>
      <c r="D103" s="58" t="s">
        <v>104</v>
      </c>
      <c r="E103" s="58" t="s">
        <v>103</v>
      </c>
      <c r="F103" s="58" t="s">
        <v>104</v>
      </c>
      <c r="G103" s="58" t="s">
        <v>103</v>
      </c>
      <c r="H103" s="58" t="s">
        <v>104</v>
      </c>
      <c r="I103" s="58" t="s">
        <v>104</v>
      </c>
      <c r="J103" s="58" t="s">
        <v>103</v>
      </c>
      <c r="K103" s="58" t="s">
        <v>104</v>
      </c>
      <c r="L103" s="58" t="s">
        <v>104</v>
      </c>
      <c r="M103" s="58" t="s">
        <v>104</v>
      </c>
      <c r="N103" s="58" t="s">
        <v>103</v>
      </c>
      <c r="O103" s="58" t="s">
        <v>104</v>
      </c>
      <c r="Q103" s="12"/>
      <c r="R103" s="108"/>
      <c r="S103" s="110" t="s">
        <v>16</v>
      </c>
      <c r="T103" s="58" t="s">
        <v>13</v>
      </c>
      <c r="U103" s="58" t="s">
        <v>104</v>
      </c>
      <c r="V103" s="58" t="s">
        <v>104</v>
      </c>
      <c r="W103" s="58" t="s">
        <v>103</v>
      </c>
      <c r="X103" s="58" t="s">
        <v>104</v>
      </c>
      <c r="Y103" s="58" t="s">
        <v>104</v>
      </c>
      <c r="Z103" s="58" t="s">
        <v>104</v>
      </c>
      <c r="AA103" s="58" t="s">
        <v>104</v>
      </c>
      <c r="AB103" s="58" t="s">
        <v>104</v>
      </c>
      <c r="AC103" s="58" t="s">
        <v>104</v>
      </c>
      <c r="AD103" s="58" t="s">
        <v>104</v>
      </c>
      <c r="AE103" s="58" t="s">
        <v>103</v>
      </c>
      <c r="AF103" s="58" t="s">
        <v>103</v>
      </c>
    </row>
    <row r="104" spans="1:32" s="4" customFormat="1" ht="15.75" thickBot="1">
      <c r="A104" s="108"/>
      <c r="B104" s="111"/>
      <c r="C104" s="9" t="s">
        <v>14</v>
      </c>
      <c r="D104" s="58" t="s">
        <v>104</v>
      </c>
      <c r="E104" s="58" t="s">
        <v>103</v>
      </c>
      <c r="F104" s="58" t="s">
        <v>104</v>
      </c>
      <c r="G104" s="58" t="s">
        <v>103</v>
      </c>
      <c r="H104" s="58" t="s">
        <v>104</v>
      </c>
      <c r="I104" s="58" t="s">
        <v>104</v>
      </c>
      <c r="J104" s="58" t="s">
        <v>103</v>
      </c>
      <c r="K104" s="58" t="s">
        <v>104</v>
      </c>
      <c r="L104" s="56"/>
      <c r="M104" s="56"/>
      <c r="N104" s="56"/>
      <c r="O104" s="56"/>
      <c r="Q104" s="12"/>
      <c r="R104" s="108"/>
      <c r="S104" s="111"/>
      <c r="T104" s="58" t="s">
        <v>14</v>
      </c>
      <c r="U104" s="58" t="s">
        <v>104</v>
      </c>
      <c r="V104" s="58" t="s">
        <v>104</v>
      </c>
      <c r="W104" s="58" t="s">
        <v>104</v>
      </c>
      <c r="X104" s="58" t="s">
        <v>104</v>
      </c>
      <c r="Y104" s="58" t="s">
        <v>104</v>
      </c>
      <c r="Z104" s="58" t="s">
        <v>104</v>
      </c>
      <c r="AA104" s="58" t="s">
        <v>104</v>
      </c>
      <c r="AB104" s="58" t="s">
        <v>104</v>
      </c>
      <c r="AC104" s="56"/>
      <c r="AD104" s="56"/>
      <c r="AE104" s="56"/>
      <c r="AF104" s="56"/>
    </row>
    <row r="105" spans="1:32" ht="15.75" customHeight="1" thickBot="1">
      <c r="A105" s="108"/>
      <c r="B105" s="112" t="s">
        <v>63</v>
      </c>
      <c r="C105" s="16" t="s">
        <v>13</v>
      </c>
      <c r="D105" s="64" t="s">
        <v>105</v>
      </c>
      <c r="E105" s="64" t="s">
        <v>105</v>
      </c>
      <c r="F105" s="64" t="s">
        <v>105</v>
      </c>
      <c r="G105" s="64" t="s">
        <v>105</v>
      </c>
      <c r="H105" s="64" t="s">
        <v>105</v>
      </c>
      <c r="I105" s="64" t="s">
        <v>107</v>
      </c>
      <c r="J105" s="64" t="s">
        <v>105</v>
      </c>
      <c r="K105" s="64" t="s">
        <v>105</v>
      </c>
      <c r="L105" s="64" t="s">
        <v>105</v>
      </c>
      <c r="M105" s="64" t="s">
        <v>105</v>
      </c>
      <c r="N105" s="64" t="s">
        <v>105</v>
      </c>
      <c r="O105" s="64" t="s">
        <v>105</v>
      </c>
      <c r="Q105" s="12"/>
      <c r="R105" s="108"/>
      <c r="S105" s="112" t="s">
        <v>63</v>
      </c>
      <c r="T105" s="64" t="s">
        <v>13</v>
      </c>
      <c r="U105" s="64" t="s">
        <v>105</v>
      </c>
      <c r="V105" s="64" t="s">
        <v>105</v>
      </c>
      <c r="W105" s="64" t="s">
        <v>105</v>
      </c>
      <c r="X105" s="64" t="s">
        <v>105</v>
      </c>
      <c r="Y105" s="64" t="s">
        <v>107</v>
      </c>
      <c r="Z105" s="64" t="s">
        <v>105</v>
      </c>
      <c r="AA105" s="64" t="s">
        <v>107</v>
      </c>
      <c r="AB105" s="64" t="s">
        <v>107</v>
      </c>
      <c r="AC105" s="64" t="s">
        <v>105</v>
      </c>
      <c r="AD105" s="64" t="s">
        <v>105</v>
      </c>
      <c r="AE105" s="64" t="s">
        <v>105</v>
      </c>
      <c r="AF105" s="64" t="s">
        <v>105</v>
      </c>
    </row>
    <row r="106" spans="1:32" ht="15.75" thickBot="1">
      <c r="A106" s="108"/>
      <c r="B106" s="112"/>
      <c r="C106" s="16" t="s">
        <v>14</v>
      </c>
      <c r="D106" s="64" t="s">
        <v>107</v>
      </c>
      <c r="E106" s="64" t="s">
        <v>105</v>
      </c>
      <c r="F106" s="64" t="s">
        <v>105</v>
      </c>
      <c r="G106" s="64" t="s">
        <v>105</v>
      </c>
      <c r="H106" s="64" t="s">
        <v>107</v>
      </c>
      <c r="I106" s="64" t="s">
        <v>107</v>
      </c>
      <c r="J106" s="64" t="s">
        <v>105</v>
      </c>
      <c r="K106" s="64" t="s">
        <v>105</v>
      </c>
      <c r="L106" s="56"/>
      <c r="M106" s="56"/>
      <c r="N106" s="56"/>
      <c r="O106" s="56"/>
      <c r="Q106" s="12"/>
      <c r="R106" s="108"/>
      <c r="S106" s="112"/>
      <c r="T106" s="64" t="s">
        <v>14</v>
      </c>
      <c r="U106" s="64" t="s">
        <v>105</v>
      </c>
      <c r="V106" s="64" t="s">
        <v>105</v>
      </c>
      <c r="W106" s="64" t="s">
        <v>105</v>
      </c>
      <c r="X106" s="64" t="s">
        <v>105</v>
      </c>
      <c r="Y106" s="64" t="s">
        <v>105</v>
      </c>
      <c r="Z106" s="64" t="s">
        <v>105</v>
      </c>
      <c r="AA106" s="64" t="s">
        <v>107</v>
      </c>
      <c r="AB106" s="64" t="s">
        <v>107</v>
      </c>
      <c r="AC106" s="56"/>
      <c r="AD106" s="56"/>
      <c r="AE106" s="56"/>
      <c r="AF106" s="56"/>
    </row>
    <row r="107" spans="1:32" ht="15" customHeight="1" thickBot="1">
      <c r="A107" s="108"/>
      <c r="B107" s="112" t="s">
        <v>60</v>
      </c>
      <c r="C107" s="16" t="s">
        <v>13</v>
      </c>
      <c r="D107" s="64">
        <v>0.54697742044518938</v>
      </c>
      <c r="E107" s="64">
        <v>0.29202096810492684</v>
      </c>
      <c r="F107" s="64">
        <v>0.97046673615744294</v>
      </c>
      <c r="G107" s="64">
        <v>0.3734062211064284</v>
      </c>
      <c r="H107" s="64">
        <v>0.46881411314828958</v>
      </c>
      <c r="I107" s="64">
        <v>5.4163660449432882E-2</v>
      </c>
      <c r="J107" s="64">
        <v>0.88180189826990885</v>
      </c>
      <c r="K107" s="64">
        <v>0.92067604964600824</v>
      </c>
      <c r="L107" s="64">
        <v>0.43701559883779817</v>
      </c>
      <c r="M107" s="64">
        <v>0.41798868985714466</v>
      </c>
      <c r="N107" s="64">
        <v>0.99504040598563992</v>
      </c>
      <c r="O107" s="64">
        <v>0.66696862254332379</v>
      </c>
      <c r="Q107" s="12"/>
      <c r="R107" s="108"/>
      <c r="S107" s="112" t="s">
        <v>60</v>
      </c>
      <c r="T107" s="64" t="s">
        <v>13</v>
      </c>
      <c r="U107" s="64">
        <v>0.45420265319293718</v>
      </c>
      <c r="V107" s="64">
        <v>0.42702829879436044</v>
      </c>
      <c r="W107" s="64">
        <v>0.80520249120464482</v>
      </c>
      <c r="X107" s="64">
        <v>0.79416532888905689</v>
      </c>
      <c r="Y107" s="64">
        <v>8.7869867086389344E-2</v>
      </c>
      <c r="Z107" s="64">
        <v>0.270526456203393</v>
      </c>
      <c r="AA107" s="64">
        <v>9.9065922389992376E-3</v>
      </c>
      <c r="AB107" s="64">
        <v>3.5708937992652713E-2</v>
      </c>
      <c r="AC107" s="64">
        <v>0.36782420401959148</v>
      </c>
      <c r="AD107" s="64">
        <v>0.34312128969585515</v>
      </c>
      <c r="AE107" s="64">
        <v>0.28403491075513376</v>
      </c>
      <c r="AF107" s="64">
        <v>0.51706634064005552</v>
      </c>
    </row>
    <row r="108" spans="1:32" ht="15" customHeight="1" thickBot="1">
      <c r="A108" s="109"/>
      <c r="B108" s="112"/>
      <c r="C108" s="16" t="s">
        <v>14</v>
      </c>
      <c r="D108" s="62">
        <v>0.18153229969443707</v>
      </c>
      <c r="E108" s="64">
        <v>0.2621643599544734</v>
      </c>
      <c r="F108" s="64">
        <v>0.64408142039725369</v>
      </c>
      <c r="G108" s="64">
        <v>0.60483838795622713</v>
      </c>
      <c r="H108" s="64">
        <v>3.8794381987282404E-2</v>
      </c>
      <c r="I108" s="64">
        <v>3.6023070051130054E-3</v>
      </c>
      <c r="J108" s="64">
        <v>0.85391164266564368</v>
      </c>
      <c r="K108" s="64">
        <v>0.98562100948060904</v>
      </c>
      <c r="L108" s="56"/>
      <c r="M108" s="56"/>
      <c r="N108" s="56"/>
      <c r="O108" s="56"/>
      <c r="Q108" s="12"/>
      <c r="R108" s="109"/>
      <c r="S108" s="112"/>
      <c r="T108" s="64" t="s">
        <v>14</v>
      </c>
      <c r="U108" s="64">
        <v>0.21991836860394354</v>
      </c>
      <c r="V108" s="64">
        <v>0.90659695166492682</v>
      </c>
      <c r="W108" s="64">
        <v>0.38421203739327126</v>
      </c>
      <c r="X108" s="64">
        <v>0.6839852287031547</v>
      </c>
      <c r="Y108" s="64">
        <v>0.45056996126272286</v>
      </c>
      <c r="Z108" s="64">
        <v>0.7705505742110208</v>
      </c>
      <c r="AA108" s="64">
        <v>1.401779316660417E-2</v>
      </c>
      <c r="AB108" s="64">
        <v>1.044018129144162E-3</v>
      </c>
      <c r="AC108" s="56"/>
      <c r="AD108" s="56"/>
      <c r="AE108" s="56"/>
      <c r="AF108" s="56"/>
    </row>
    <row r="109" spans="1:32" ht="15">
      <c r="A109" s="25"/>
      <c r="B109" s="35"/>
      <c r="C109" s="24"/>
      <c r="D109" s="53"/>
      <c r="E109" s="53"/>
      <c r="F109" s="53"/>
      <c r="G109" s="53"/>
      <c r="H109" s="53"/>
      <c r="I109" s="53"/>
      <c r="J109" s="53"/>
      <c r="K109" s="53"/>
      <c r="L109" s="54"/>
      <c r="M109" s="54"/>
      <c r="N109" s="54"/>
      <c r="O109" s="54"/>
      <c r="Q109" s="12"/>
      <c r="R109" s="25"/>
      <c r="S109" s="35"/>
      <c r="T109" s="53"/>
      <c r="U109" s="53"/>
      <c r="V109" s="53"/>
      <c r="W109" s="53"/>
      <c r="X109" s="53"/>
      <c r="Y109" s="53"/>
      <c r="Z109" s="53"/>
      <c r="AA109" s="53"/>
      <c r="AB109" s="53"/>
      <c r="AC109" s="54"/>
      <c r="AD109" s="54"/>
      <c r="AE109" s="54"/>
      <c r="AF109" s="54"/>
    </row>
    <row r="110" spans="1:32" ht="15.75" thickBot="1">
      <c r="A110" s="25"/>
      <c r="B110" s="35"/>
      <c r="C110" s="24"/>
      <c r="D110" s="53"/>
      <c r="E110" s="53"/>
      <c r="F110" s="53"/>
      <c r="G110" s="53"/>
      <c r="H110" s="53"/>
      <c r="I110" s="53"/>
      <c r="J110" s="53"/>
      <c r="K110" s="53"/>
      <c r="L110" s="54"/>
      <c r="M110" s="54"/>
      <c r="N110" s="54"/>
      <c r="O110" s="54"/>
      <c r="Q110" s="12"/>
      <c r="R110" s="25"/>
      <c r="S110" s="35"/>
      <c r="T110" s="53"/>
      <c r="U110" s="53"/>
      <c r="V110" s="53"/>
      <c r="W110" s="53"/>
      <c r="X110" s="53"/>
      <c r="Y110" s="53"/>
      <c r="Z110" s="53"/>
      <c r="AA110" s="53"/>
      <c r="AB110" s="53"/>
      <c r="AC110" s="54"/>
      <c r="AD110" s="54"/>
      <c r="AE110" s="54"/>
      <c r="AF110" s="54"/>
    </row>
    <row r="111" spans="1:32" s="2" customFormat="1" ht="19.5" thickBot="1">
      <c r="A111" s="99" t="s">
        <v>20</v>
      </c>
      <c r="B111" s="100"/>
      <c r="C111" s="101"/>
      <c r="D111" s="102" t="s">
        <v>74</v>
      </c>
      <c r="E111" s="103"/>
      <c r="F111" s="103"/>
      <c r="G111" s="104"/>
      <c r="H111" s="105" t="s">
        <v>75</v>
      </c>
      <c r="I111" s="103"/>
      <c r="J111" s="103"/>
      <c r="K111" s="104"/>
      <c r="L111" s="105" t="s">
        <v>76</v>
      </c>
      <c r="M111" s="103"/>
      <c r="N111" s="103"/>
      <c r="O111" s="106"/>
      <c r="Q111" s="11"/>
      <c r="R111" s="99" t="s">
        <v>19</v>
      </c>
      <c r="S111" s="100"/>
      <c r="T111" s="101"/>
      <c r="U111" s="102" t="s">
        <v>74</v>
      </c>
      <c r="V111" s="103"/>
      <c r="W111" s="103"/>
      <c r="X111" s="104"/>
      <c r="Y111" s="102" t="s">
        <v>75</v>
      </c>
      <c r="Z111" s="103"/>
      <c r="AA111" s="103"/>
      <c r="AB111" s="104"/>
      <c r="AC111" s="102" t="s">
        <v>76</v>
      </c>
      <c r="AD111" s="103"/>
      <c r="AE111" s="103"/>
      <c r="AF111" s="104"/>
    </row>
    <row r="112" spans="1:32" s="2" customFormat="1" ht="15.75" thickBot="1">
      <c r="A112" s="7" t="s">
        <v>6</v>
      </c>
      <c r="B112" s="76" t="s">
        <v>7</v>
      </c>
      <c r="C112" s="8" t="s">
        <v>8</v>
      </c>
      <c r="D112" s="55" t="s">
        <v>9</v>
      </c>
      <c r="E112" s="55" t="s">
        <v>10</v>
      </c>
      <c r="F112" s="55" t="s">
        <v>11</v>
      </c>
      <c r="G112" s="55" t="s">
        <v>12</v>
      </c>
      <c r="H112" s="55" t="s">
        <v>9</v>
      </c>
      <c r="I112" s="55" t="s">
        <v>10</v>
      </c>
      <c r="J112" s="55" t="s">
        <v>11</v>
      </c>
      <c r="K112" s="55" t="s">
        <v>12</v>
      </c>
      <c r="L112" s="55" t="s">
        <v>9</v>
      </c>
      <c r="M112" s="55" t="s">
        <v>10</v>
      </c>
      <c r="N112" s="55" t="s">
        <v>11</v>
      </c>
      <c r="O112" s="55" t="s">
        <v>12</v>
      </c>
      <c r="Q112" s="11"/>
      <c r="R112" s="7" t="s">
        <v>6</v>
      </c>
      <c r="S112" s="76" t="s">
        <v>7</v>
      </c>
      <c r="T112" s="76" t="s">
        <v>8</v>
      </c>
      <c r="U112" s="55" t="s">
        <v>9</v>
      </c>
      <c r="V112" s="55" t="s">
        <v>10</v>
      </c>
      <c r="W112" s="55" t="s">
        <v>11</v>
      </c>
      <c r="X112" s="55" t="s">
        <v>12</v>
      </c>
      <c r="Y112" s="55" t="s">
        <v>9</v>
      </c>
      <c r="Z112" s="55" t="s">
        <v>10</v>
      </c>
      <c r="AA112" s="55" t="s">
        <v>11</v>
      </c>
      <c r="AB112" s="55" t="s">
        <v>12</v>
      </c>
      <c r="AC112" s="55" t="s">
        <v>9</v>
      </c>
      <c r="AD112" s="55" t="s">
        <v>10</v>
      </c>
      <c r="AE112" s="55" t="s">
        <v>11</v>
      </c>
      <c r="AF112" s="55" t="s">
        <v>12</v>
      </c>
    </row>
    <row r="113" spans="1:32" s="2" customFormat="1" ht="15.75" thickBot="1">
      <c r="A113" s="107" t="s">
        <v>73</v>
      </c>
      <c r="B113" s="107" t="s">
        <v>51</v>
      </c>
      <c r="C113" s="9" t="s">
        <v>13</v>
      </c>
      <c r="D113" s="56">
        <v>429384.40664670989</v>
      </c>
      <c r="E113" s="56"/>
      <c r="F113" s="56">
        <v>29583.27260584326</v>
      </c>
      <c r="G113" s="56">
        <v>415864.49674088694</v>
      </c>
      <c r="H113" s="56">
        <v>-289260.97577420063</v>
      </c>
      <c r="I113" s="56"/>
      <c r="J113" s="56">
        <v>-442.61711142025888</v>
      </c>
      <c r="K113" s="56">
        <v>-183975.95511149988</v>
      </c>
      <c r="L113" s="56"/>
      <c r="M113" s="56"/>
      <c r="N113" s="56"/>
      <c r="O113" s="56"/>
      <c r="Q113" s="11"/>
      <c r="R113" s="107" t="s">
        <v>2</v>
      </c>
      <c r="S113" s="107" t="s">
        <v>51</v>
      </c>
      <c r="T113" s="58" t="s">
        <v>13</v>
      </c>
      <c r="U113" s="68">
        <v>2.0670915587623628E-3</v>
      </c>
      <c r="V113" s="56"/>
      <c r="W113" s="68">
        <v>1.6556350981222811E-3</v>
      </c>
      <c r="X113" s="68">
        <v>2.8893654562917627E-3</v>
      </c>
      <c r="Y113" s="68">
        <v>-1.2553747916073943E-3</v>
      </c>
      <c r="Z113" s="56"/>
      <c r="AA113" s="68">
        <v>-6.3973620033960787E-4</v>
      </c>
      <c r="AB113" s="68">
        <v>-1.6242400248121097E-3</v>
      </c>
      <c r="AC113" s="56"/>
      <c r="AD113" s="56"/>
      <c r="AE113" s="56"/>
      <c r="AF113" s="56"/>
    </row>
    <row r="114" spans="1:32" s="2" customFormat="1" ht="15.75" thickBot="1">
      <c r="A114" s="108"/>
      <c r="B114" s="109"/>
      <c r="C114" s="9" t="s">
        <v>14</v>
      </c>
      <c r="D114" s="56">
        <v>1047309.182349172</v>
      </c>
      <c r="E114" s="56"/>
      <c r="F114" s="56">
        <v>263890.92463846167</v>
      </c>
      <c r="G114" s="56">
        <v>1270931.9674782371</v>
      </c>
      <c r="H114" s="56">
        <v>-289260.97577420063</v>
      </c>
      <c r="I114" s="56"/>
      <c r="J114" s="56">
        <v>-442.61711142025888</v>
      </c>
      <c r="K114" s="56">
        <v>-183975.95511149988</v>
      </c>
      <c r="L114" s="56"/>
      <c r="M114" s="56"/>
      <c r="N114" s="56"/>
      <c r="O114" s="56"/>
      <c r="Q114" s="11"/>
      <c r="R114" s="108"/>
      <c r="S114" s="109"/>
      <c r="T114" s="58" t="s">
        <v>14</v>
      </c>
      <c r="U114" s="68">
        <v>5.2585449526875855E-3</v>
      </c>
      <c r="V114" s="56"/>
      <c r="W114" s="68">
        <v>3.5569246431685249E-3</v>
      </c>
      <c r="X114" s="68">
        <v>5.5684680133766436E-3</v>
      </c>
      <c r="Y114" s="68">
        <v>-1.2553747916073943E-3</v>
      </c>
      <c r="Z114" s="56"/>
      <c r="AA114" s="68">
        <v>-6.3973620033960787E-4</v>
      </c>
      <c r="AB114" s="68">
        <v>-1.6242400248121097E-3</v>
      </c>
      <c r="AC114" s="56"/>
      <c r="AD114" s="56"/>
      <c r="AE114" s="56"/>
      <c r="AF114" s="56"/>
    </row>
    <row r="115" spans="1:32" s="2" customFormat="1" ht="15.75" thickBot="1">
      <c r="A115" s="108"/>
      <c r="B115" s="110" t="s">
        <v>15</v>
      </c>
      <c r="C115" s="9" t="s">
        <v>13</v>
      </c>
      <c r="D115" s="68">
        <v>0.11398698330927588</v>
      </c>
      <c r="E115" s="56"/>
      <c r="F115" s="68">
        <v>3.57501783756414E-2</v>
      </c>
      <c r="G115" s="68">
        <v>9.0514336122392389E-2</v>
      </c>
      <c r="H115" s="68">
        <v>-2.0446636252995178E-2</v>
      </c>
      <c r="I115" s="56"/>
      <c r="J115" s="68">
        <v>-1.1763331541711806E-4</v>
      </c>
      <c r="K115" s="68">
        <v>-1.0272360623480888E-2</v>
      </c>
      <c r="L115" s="56"/>
      <c r="M115" s="56"/>
      <c r="N115" s="56"/>
      <c r="O115" s="56"/>
      <c r="Q115" s="11"/>
      <c r="R115" s="108"/>
      <c r="S115" s="110" t="s">
        <v>15</v>
      </c>
      <c r="T115" s="58" t="s">
        <v>13</v>
      </c>
      <c r="U115" s="68">
        <v>9.4178309052575765E-2</v>
      </c>
      <c r="V115" s="56"/>
      <c r="W115" s="68">
        <v>0.18987601701762655</v>
      </c>
      <c r="X115" s="68">
        <v>0.16717280880512314</v>
      </c>
      <c r="Y115" s="68">
        <v>-1.7691332780699134E-2</v>
      </c>
      <c r="Z115" s="56"/>
      <c r="AA115" s="68">
        <v>-1.6523215963063262E-2</v>
      </c>
      <c r="AB115" s="68">
        <v>-2.6901293488250846E-2</v>
      </c>
      <c r="AC115" s="56"/>
      <c r="AD115" s="56"/>
      <c r="AE115" s="56"/>
      <c r="AF115" s="56"/>
    </row>
    <row r="116" spans="1:32" s="2" customFormat="1" ht="15.75" thickBot="1">
      <c r="A116" s="108"/>
      <c r="B116" s="111"/>
      <c r="C116" s="9" t="s">
        <v>14</v>
      </c>
      <c r="D116" s="68">
        <v>0.22221700358904409</v>
      </c>
      <c r="E116" s="56"/>
      <c r="F116" s="68">
        <v>0.22887430096267691</v>
      </c>
      <c r="G116" s="68">
        <v>0.21666086216515915</v>
      </c>
      <c r="H116" s="68">
        <v>-2.0446636252995178E-2</v>
      </c>
      <c r="I116" s="56"/>
      <c r="J116" s="68">
        <v>-1.1763331541711806E-4</v>
      </c>
      <c r="K116" s="68">
        <v>-1.0272360623480888E-2</v>
      </c>
      <c r="L116" s="56"/>
      <c r="M116" s="56"/>
      <c r="N116" s="56"/>
      <c r="O116" s="56"/>
      <c r="Q116" s="11"/>
      <c r="R116" s="108"/>
      <c r="S116" s="111"/>
      <c r="T116" s="58" t="s">
        <v>14</v>
      </c>
      <c r="U116" s="68">
        <v>0.19597576721901566</v>
      </c>
      <c r="V116" s="56"/>
      <c r="W116" s="68">
        <v>0.30567602369813951</v>
      </c>
      <c r="X116" s="68">
        <v>0.26049237008643544</v>
      </c>
      <c r="Y116" s="68">
        <v>-1.7691332780699134E-2</v>
      </c>
      <c r="Z116" s="56"/>
      <c r="AA116" s="68">
        <v>-1.6523215963063262E-2</v>
      </c>
      <c r="AB116" s="68">
        <v>-2.6901293488250846E-2</v>
      </c>
      <c r="AC116" s="56"/>
      <c r="AD116" s="56"/>
      <c r="AE116" s="56"/>
      <c r="AF116" s="56"/>
    </row>
    <row r="117" spans="1:32" s="2" customFormat="1" ht="15.75" thickBot="1">
      <c r="A117" s="108"/>
      <c r="B117" s="110" t="s">
        <v>16</v>
      </c>
      <c r="C117" s="9" t="s">
        <v>13</v>
      </c>
      <c r="D117" s="58" t="s">
        <v>104</v>
      </c>
      <c r="E117" s="56"/>
      <c r="F117" s="58" t="s">
        <v>104</v>
      </c>
      <c r="G117" s="58" t="s">
        <v>104</v>
      </c>
      <c r="H117" s="58" t="s">
        <v>103</v>
      </c>
      <c r="I117" s="56"/>
      <c r="J117" s="58" t="s">
        <v>103</v>
      </c>
      <c r="K117" s="58" t="s">
        <v>103</v>
      </c>
      <c r="L117" s="56"/>
      <c r="M117" s="56"/>
      <c r="N117" s="56"/>
      <c r="O117" s="56"/>
      <c r="Q117" s="11"/>
      <c r="R117" s="108"/>
      <c r="S117" s="110" t="s">
        <v>16</v>
      </c>
      <c r="T117" s="58" t="s">
        <v>13</v>
      </c>
      <c r="U117" s="58" t="s">
        <v>104</v>
      </c>
      <c r="V117" s="56"/>
      <c r="W117" s="58" t="s">
        <v>104</v>
      </c>
      <c r="X117" s="58" t="s">
        <v>104</v>
      </c>
      <c r="Y117" s="58" t="s">
        <v>103</v>
      </c>
      <c r="Z117" s="56"/>
      <c r="AA117" s="58" t="s">
        <v>103</v>
      </c>
      <c r="AB117" s="58" t="s">
        <v>103</v>
      </c>
      <c r="AC117" s="56"/>
      <c r="AD117" s="56"/>
      <c r="AE117" s="56"/>
      <c r="AF117" s="56"/>
    </row>
    <row r="118" spans="1:32" s="2" customFormat="1" ht="15.75" thickBot="1">
      <c r="A118" s="108"/>
      <c r="B118" s="111"/>
      <c r="C118" s="9" t="s">
        <v>14</v>
      </c>
      <c r="D118" s="58" t="s">
        <v>104</v>
      </c>
      <c r="E118" s="56"/>
      <c r="F118" s="58" t="s">
        <v>104</v>
      </c>
      <c r="G118" s="58" t="s">
        <v>104</v>
      </c>
      <c r="H118" s="58" t="s">
        <v>103</v>
      </c>
      <c r="I118" s="56"/>
      <c r="J118" s="58" t="s">
        <v>103</v>
      </c>
      <c r="K118" s="58" t="s">
        <v>103</v>
      </c>
      <c r="L118" s="56"/>
      <c r="M118" s="56"/>
      <c r="N118" s="56"/>
      <c r="O118" s="56"/>
      <c r="Q118" s="11"/>
      <c r="R118" s="108"/>
      <c r="S118" s="111"/>
      <c r="T118" s="58" t="s">
        <v>14</v>
      </c>
      <c r="U118" s="58" t="s">
        <v>104</v>
      </c>
      <c r="V118" s="56"/>
      <c r="W118" s="58" t="s">
        <v>104</v>
      </c>
      <c r="X118" s="58" t="s">
        <v>104</v>
      </c>
      <c r="Y118" s="58" t="s">
        <v>103</v>
      </c>
      <c r="Z118" s="56"/>
      <c r="AA118" s="58" t="s">
        <v>103</v>
      </c>
      <c r="AB118" s="58" t="s">
        <v>103</v>
      </c>
      <c r="AC118" s="56"/>
      <c r="AD118" s="56"/>
      <c r="AE118" s="56"/>
      <c r="AF118" s="56"/>
    </row>
    <row r="119" spans="1:32" s="2" customFormat="1" ht="15.75" customHeight="1" thickBot="1">
      <c r="A119" s="108"/>
      <c r="B119" s="112" t="s">
        <v>63</v>
      </c>
      <c r="C119" s="16" t="s">
        <v>13</v>
      </c>
      <c r="D119" s="56" t="s">
        <v>107</v>
      </c>
      <c r="E119" s="56"/>
      <c r="F119" s="56" t="s">
        <v>105</v>
      </c>
      <c r="G119" s="56" t="s">
        <v>105</v>
      </c>
      <c r="H119" s="56" t="s">
        <v>105</v>
      </c>
      <c r="I119" s="56"/>
      <c r="J119" s="56" t="s">
        <v>105</v>
      </c>
      <c r="K119" s="56" t="s">
        <v>105</v>
      </c>
      <c r="L119" s="56"/>
      <c r="M119" s="56"/>
      <c r="N119" s="56"/>
      <c r="O119" s="56"/>
      <c r="Q119" s="11"/>
      <c r="R119" s="108"/>
      <c r="S119" s="112" t="s">
        <v>63</v>
      </c>
      <c r="T119" s="64" t="s">
        <v>13</v>
      </c>
      <c r="U119" s="56" t="s">
        <v>107</v>
      </c>
      <c r="V119" s="56"/>
      <c r="W119" s="56" t="s">
        <v>107</v>
      </c>
      <c r="X119" s="56" t="s">
        <v>107</v>
      </c>
      <c r="Y119" s="56" t="s">
        <v>105</v>
      </c>
      <c r="Z119" s="56"/>
      <c r="AA119" s="56" t="s">
        <v>105</v>
      </c>
      <c r="AB119" s="56" t="s">
        <v>105</v>
      </c>
      <c r="AC119" s="56"/>
      <c r="AD119" s="56"/>
      <c r="AE119" s="56"/>
      <c r="AF119" s="56"/>
    </row>
    <row r="120" spans="1:32" ht="15.75" thickBot="1">
      <c r="A120" s="108"/>
      <c r="B120" s="112"/>
      <c r="C120" s="16" t="s">
        <v>14</v>
      </c>
      <c r="D120" s="56" t="s">
        <v>107</v>
      </c>
      <c r="E120" s="56"/>
      <c r="F120" s="56" t="s">
        <v>107</v>
      </c>
      <c r="G120" s="56" t="s">
        <v>107</v>
      </c>
      <c r="H120" s="56" t="s">
        <v>105</v>
      </c>
      <c r="I120" s="56"/>
      <c r="J120" s="56" t="s">
        <v>105</v>
      </c>
      <c r="K120" s="56" t="s">
        <v>105</v>
      </c>
      <c r="L120" s="56"/>
      <c r="M120" s="56"/>
      <c r="N120" s="56"/>
      <c r="O120" s="56"/>
      <c r="Q120" s="12"/>
      <c r="R120" s="108"/>
      <c r="S120" s="112"/>
      <c r="T120" s="64" t="s">
        <v>14</v>
      </c>
      <c r="U120" s="56" t="s">
        <v>107</v>
      </c>
      <c r="V120" s="56"/>
      <c r="W120" s="56" t="s">
        <v>107</v>
      </c>
      <c r="X120" s="56" t="s">
        <v>107</v>
      </c>
      <c r="Y120" s="56" t="s">
        <v>105</v>
      </c>
      <c r="Z120" s="56"/>
      <c r="AA120" s="56" t="s">
        <v>105</v>
      </c>
      <c r="AB120" s="56" t="s">
        <v>105</v>
      </c>
      <c r="AC120" s="56"/>
      <c r="AD120" s="56"/>
      <c r="AE120" s="56"/>
      <c r="AF120" s="56"/>
    </row>
    <row r="121" spans="1:32" ht="15" customHeight="1" thickBot="1">
      <c r="A121" s="108"/>
      <c r="B121" s="112" t="s">
        <v>60</v>
      </c>
      <c r="C121" s="16" t="s">
        <v>13</v>
      </c>
      <c r="D121" s="71">
        <v>7.7660262413914521E-2</v>
      </c>
      <c r="E121" s="56"/>
      <c r="F121" s="71">
        <v>0.84224870520813866</v>
      </c>
      <c r="G121" s="71">
        <v>0.24176058156253144</v>
      </c>
      <c r="H121" s="71">
        <v>0.75790171541972928</v>
      </c>
      <c r="I121" s="56"/>
      <c r="J121" s="71">
        <v>0.99928257585817259</v>
      </c>
      <c r="K121" s="71">
        <v>0.69956907591866568</v>
      </c>
      <c r="L121" s="56"/>
      <c r="M121" s="56"/>
      <c r="N121" s="56"/>
      <c r="O121" s="56"/>
      <c r="Q121" s="12"/>
      <c r="R121" s="108"/>
      <c r="S121" s="112" t="s">
        <v>60</v>
      </c>
      <c r="T121" s="64" t="s">
        <v>13</v>
      </c>
      <c r="U121" s="82">
        <v>0.19933601737180223</v>
      </c>
      <c r="V121" s="56"/>
      <c r="W121" s="82">
        <v>9.1752834193066624E-2</v>
      </c>
      <c r="X121" s="82">
        <v>2.7967160852449088E-2</v>
      </c>
      <c r="Y121" s="82">
        <v>0.36852994227039504</v>
      </c>
      <c r="Z121" s="56"/>
      <c r="AA121" s="82">
        <v>0.66178287320831475</v>
      </c>
      <c r="AB121" s="82">
        <v>0.52218548793187014</v>
      </c>
      <c r="AC121" s="56"/>
      <c r="AD121" s="56"/>
      <c r="AE121" s="56"/>
      <c r="AF121" s="56"/>
    </row>
    <row r="122" spans="1:32" ht="15" customHeight="1" thickBot="1">
      <c r="A122" s="109"/>
      <c r="B122" s="112"/>
      <c r="C122" s="16" t="s">
        <v>14</v>
      </c>
      <c r="D122" s="71">
        <v>5.2685754146926458E-2</v>
      </c>
      <c r="E122" s="56"/>
      <c r="F122" s="71">
        <v>0.21918201762901635</v>
      </c>
      <c r="G122" s="71">
        <v>8.4546155145606164E-2</v>
      </c>
      <c r="H122" s="71">
        <v>0.75790171541972928</v>
      </c>
      <c r="I122" s="56"/>
      <c r="J122" s="71">
        <v>0.99928257585817259</v>
      </c>
      <c r="K122" s="71">
        <v>0.69956907591866568</v>
      </c>
      <c r="L122" s="56"/>
      <c r="M122" s="56"/>
      <c r="N122" s="56"/>
      <c r="O122" s="56"/>
      <c r="Q122" s="12"/>
      <c r="R122" s="109"/>
      <c r="S122" s="112"/>
      <c r="T122" s="64" t="s">
        <v>14</v>
      </c>
      <c r="U122" s="82">
        <v>7.5214240394278334E-2</v>
      </c>
      <c r="V122" s="56"/>
      <c r="W122" s="82">
        <v>6.2457144444910885E-2</v>
      </c>
      <c r="X122" s="82">
        <v>2.6514772509259717E-2</v>
      </c>
      <c r="Y122" s="82">
        <v>0.36852994227039504</v>
      </c>
      <c r="Z122" s="56"/>
      <c r="AA122" s="82">
        <v>0.66178287320831475</v>
      </c>
      <c r="AB122" s="82">
        <v>0.52218548793187014</v>
      </c>
      <c r="AC122" s="56"/>
      <c r="AD122" s="56"/>
      <c r="AE122" s="56"/>
      <c r="AF122" s="56"/>
    </row>
    <row r="123" spans="1:32" ht="15">
      <c r="A123" s="25"/>
      <c r="B123" s="35"/>
      <c r="C123" s="24"/>
      <c r="D123" s="53"/>
      <c r="E123" s="53"/>
      <c r="F123" s="53"/>
      <c r="G123" s="53"/>
      <c r="H123" s="53"/>
      <c r="I123" s="53"/>
      <c r="J123" s="53"/>
      <c r="K123" s="53"/>
      <c r="L123" s="54"/>
      <c r="M123" s="54"/>
      <c r="N123" s="54"/>
      <c r="O123" s="54"/>
      <c r="Q123" s="12"/>
      <c r="R123" s="25"/>
      <c r="S123" s="35"/>
      <c r="T123" s="53"/>
      <c r="U123" s="53"/>
      <c r="V123" s="53"/>
      <c r="W123" s="53"/>
      <c r="X123" s="53"/>
      <c r="Y123" s="53"/>
      <c r="Z123" s="53"/>
      <c r="AA123" s="53"/>
      <c r="AB123" s="53"/>
      <c r="AC123" s="54"/>
      <c r="AD123" s="54"/>
      <c r="AE123" s="54"/>
      <c r="AF123" s="54"/>
    </row>
    <row r="124" spans="1:32" ht="14.25" thickBot="1">
      <c r="A124" s="5"/>
      <c r="Q124" s="12"/>
    </row>
    <row r="125" spans="1:32" ht="19.5" thickBot="1">
      <c r="A125" s="99" t="s">
        <v>20</v>
      </c>
      <c r="B125" s="100"/>
      <c r="C125" s="101"/>
      <c r="D125" s="102" t="s">
        <v>47</v>
      </c>
      <c r="E125" s="103"/>
      <c r="F125" s="103"/>
      <c r="G125" s="104"/>
      <c r="H125" s="105" t="s">
        <v>48</v>
      </c>
      <c r="I125" s="103"/>
      <c r="J125" s="103"/>
      <c r="K125" s="104"/>
      <c r="L125" s="105" t="s">
        <v>49</v>
      </c>
      <c r="M125" s="103"/>
      <c r="N125" s="103"/>
      <c r="O125" s="106"/>
      <c r="Q125" s="12"/>
      <c r="R125" s="99" t="s">
        <v>20</v>
      </c>
      <c r="S125" s="100"/>
      <c r="T125" s="101"/>
      <c r="U125" s="102" t="s">
        <v>47</v>
      </c>
      <c r="V125" s="103"/>
      <c r="W125" s="103"/>
      <c r="X125" s="104"/>
      <c r="Y125" s="102" t="s">
        <v>48</v>
      </c>
      <c r="Z125" s="103"/>
      <c r="AA125" s="103"/>
      <c r="AB125" s="104"/>
      <c r="AC125" s="102" t="s">
        <v>49</v>
      </c>
      <c r="AD125" s="103"/>
      <c r="AE125" s="103"/>
      <c r="AF125" s="104"/>
    </row>
    <row r="126" spans="1:32" ht="15.75" thickBot="1">
      <c r="A126" s="7" t="s">
        <v>6</v>
      </c>
      <c r="B126" s="76" t="s">
        <v>7</v>
      </c>
      <c r="C126" s="8" t="s">
        <v>8</v>
      </c>
      <c r="D126" s="55" t="s">
        <v>9</v>
      </c>
      <c r="E126" s="55" t="s">
        <v>10</v>
      </c>
      <c r="F126" s="55" t="s">
        <v>11</v>
      </c>
      <c r="G126" s="55" t="s">
        <v>12</v>
      </c>
      <c r="H126" s="55" t="s">
        <v>9</v>
      </c>
      <c r="I126" s="55" t="s">
        <v>10</v>
      </c>
      <c r="J126" s="55" t="s">
        <v>11</v>
      </c>
      <c r="K126" s="55" t="s">
        <v>12</v>
      </c>
      <c r="L126" s="55" t="s">
        <v>9</v>
      </c>
      <c r="M126" s="55" t="s">
        <v>10</v>
      </c>
      <c r="N126" s="55" t="s">
        <v>11</v>
      </c>
      <c r="O126" s="55" t="s">
        <v>12</v>
      </c>
      <c r="Q126" s="12"/>
      <c r="R126" s="7" t="s">
        <v>6</v>
      </c>
      <c r="S126" s="76" t="s">
        <v>7</v>
      </c>
      <c r="T126" s="76" t="s">
        <v>8</v>
      </c>
      <c r="U126" s="55" t="s">
        <v>9</v>
      </c>
      <c r="V126" s="55" t="s">
        <v>10</v>
      </c>
      <c r="W126" s="55" t="s">
        <v>11</v>
      </c>
      <c r="X126" s="55" t="s">
        <v>12</v>
      </c>
      <c r="Y126" s="55" t="s">
        <v>9</v>
      </c>
      <c r="Z126" s="55" t="s">
        <v>10</v>
      </c>
      <c r="AA126" s="55" t="s">
        <v>11</v>
      </c>
      <c r="AB126" s="55" t="s">
        <v>12</v>
      </c>
      <c r="AC126" s="55" t="s">
        <v>9</v>
      </c>
      <c r="AD126" s="55" t="s">
        <v>10</v>
      </c>
      <c r="AE126" s="55" t="s">
        <v>11</v>
      </c>
      <c r="AF126" s="55" t="s">
        <v>12</v>
      </c>
    </row>
    <row r="127" spans="1:32" ht="15.75" thickBot="1">
      <c r="A127" s="107" t="s">
        <v>38</v>
      </c>
      <c r="B127" s="107" t="s">
        <v>51</v>
      </c>
      <c r="C127" s="9" t="s">
        <v>13</v>
      </c>
      <c r="D127" s="56">
        <v>342787.51</v>
      </c>
      <c r="E127" s="56"/>
      <c r="F127" s="56">
        <v>321.58999999999997</v>
      </c>
      <c r="G127" s="56">
        <v>898390.22</v>
      </c>
      <c r="H127" s="56">
        <v>242398.78</v>
      </c>
      <c r="I127" s="56"/>
      <c r="J127" s="56">
        <v>-117537.52</v>
      </c>
      <c r="K127" s="56">
        <v>286834.96999999997</v>
      </c>
      <c r="L127" s="56">
        <v>-680613.44</v>
      </c>
      <c r="M127" s="56"/>
      <c r="N127" s="56">
        <v>-457036.51</v>
      </c>
      <c r="O127" s="56">
        <v>-885784.86</v>
      </c>
      <c r="Q127" s="12"/>
      <c r="R127" s="107" t="s">
        <v>38</v>
      </c>
      <c r="S127" s="107" t="s">
        <v>51</v>
      </c>
      <c r="T127" s="58" t="s">
        <v>13</v>
      </c>
      <c r="U127" s="77">
        <v>0</v>
      </c>
      <c r="V127" s="56">
        <v>0</v>
      </c>
      <c r="W127" s="77">
        <v>0</v>
      </c>
      <c r="X127" s="77">
        <v>0</v>
      </c>
      <c r="Y127" s="90">
        <v>0</v>
      </c>
      <c r="Z127" s="91"/>
      <c r="AA127" s="90">
        <v>0</v>
      </c>
      <c r="AB127" s="90">
        <v>0</v>
      </c>
      <c r="AC127" s="77">
        <v>-4.3200000000000002E-2</v>
      </c>
      <c r="AD127" s="56"/>
      <c r="AE127" s="77"/>
      <c r="AF127" s="77">
        <v>-2.12E-2</v>
      </c>
    </row>
    <row r="128" spans="1:32" ht="15.75" thickBot="1">
      <c r="A128" s="108"/>
      <c r="B128" s="109"/>
      <c r="C128" s="9" t="s">
        <v>14</v>
      </c>
      <c r="D128" s="56">
        <v>423054.38</v>
      </c>
      <c r="E128" s="56"/>
      <c r="F128" s="56">
        <v>494461.69</v>
      </c>
      <c r="G128" s="56">
        <v>1591322.35</v>
      </c>
      <c r="H128" s="56">
        <v>464795.98</v>
      </c>
      <c r="I128" s="56"/>
      <c r="J128" s="56">
        <v>-517637.13</v>
      </c>
      <c r="K128" s="56">
        <v>-56611.15</v>
      </c>
      <c r="L128" s="56">
        <v>-809459.37</v>
      </c>
      <c r="M128" s="56"/>
      <c r="N128" s="56">
        <v>-724869.39</v>
      </c>
      <c r="O128" s="56">
        <v>-1404043.61</v>
      </c>
      <c r="Q128" s="12"/>
      <c r="R128" s="108"/>
      <c r="S128" s="109"/>
      <c r="T128" s="58" t="s">
        <v>14</v>
      </c>
      <c r="U128" s="77">
        <v>0</v>
      </c>
      <c r="V128" s="56">
        <v>0</v>
      </c>
      <c r="W128" s="77">
        <v>0</v>
      </c>
      <c r="X128" s="77">
        <v>0</v>
      </c>
      <c r="Y128" s="90">
        <v>0</v>
      </c>
      <c r="Z128" s="91"/>
      <c r="AA128" s="90">
        <v>0</v>
      </c>
      <c r="AB128" s="90">
        <v>0</v>
      </c>
      <c r="AC128" s="77">
        <v>-6.8699999999999997E-2</v>
      </c>
      <c r="AD128" s="56"/>
      <c r="AE128" s="77"/>
      <c r="AF128" s="77">
        <v>-3.1399999999999997E-2</v>
      </c>
    </row>
    <row r="129" spans="1:32" ht="15.75" thickBot="1">
      <c r="A129" s="108"/>
      <c r="B129" s="110" t="s">
        <v>15</v>
      </c>
      <c r="C129" s="9" t="s">
        <v>13</v>
      </c>
      <c r="D129" s="57">
        <v>3.5299999999999998E-2</v>
      </c>
      <c r="E129" s="56"/>
      <c r="F129" s="57">
        <v>0</v>
      </c>
      <c r="G129" s="57">
        <v>5.3199999999999997E-2</v>
      </c>
      <c r="H129" s="57">
        <v>1.5699999999999999E-2</v>
      </c>
      <c r="I129" s="56"/>
      <c r="J129" s="57">
        <v>-7.7000000000000002E-3</v>
      </c>
      <c r="K129" s="57">
        <v>9.4000000000000004E-3</v>
      </c>
      <c r="L129" s="57">
        <v>-3.6900000000000002E-2</v>
      </c>
      <c r="M129" s="56"/>
      <c r="N129" s="57">
        <v>-3.2399999999999998E-2</v>
      </c>
      <c r="O129" s="57">
        <v>-2.7199999999999998E-2</v>
      </c>
      <c r="Q129" s="12"/>
      <c r="R129" s="108"/>
      <c r="S129" s="110" t="s">
        <v>15</v>
      </c>
      <c r="T129" s="58" t="s">
        <v>13</v>
      </c>
      <c r="U129" s="57">
        <v>0</v>
      </c>
      <c r="V129" s="56">
        <v>0</v>
      </c>
      <c r="W129" s="57">
        <v>0</v>
      </c>
      <c r="X129" s="57">
        <v>0</v>
      </c>
      <c r="Y129" s="92">
        <v>0</v>
      </c>
      <c r="Z129" s="93"/>
      <c r="AA129" s="92">
        <v>0</v>
      </c>
      <c r="AB129" s="92">
        <v>0</v>
      </c>
      <c r="AC129" s="57">
        <v>-4.8599999999999997E-2</v>
      </c>
      <c r="AD129" s="56"/>
      <c r="AE129" s="57"/>
      <c r="AF129" s="57">
        <v>-2.2700000000000001E-2</v>
      </c>
    </row>
    <row r="130" spans="1:32" ht="15.75" thickBot="1">
      <c r="A130" s="108"/>
      <c r="B130" s="111"/>
      <c r="C130" s="9" t="s">
        <v>14</v>
      </c>
      <c r="D130" s="57">
        <v>4.3099999999999999E-2</v>
      </c>
      <c r="E130" s="56"/>
      <c r="F130" s="57">
        <v>6.3399999999999998E-2</v>
      </c>
      <c r="G130" s="57">
        <v>9.0399999999999994E-2</v>
      </c>
      <c r="H130" s="57">
        <v>2.9499999999999998E-2</v>
      </c>
      <c r="I130" s="56"/>
      <c r="J130" s="57">
        <v>-3.4099999999999998E-2</v>
      </c>
      <c r="K130" s="57">
        <v>-1.8E-3</v>
      </c>
      <c r="L130" s="57">
        <v>-4.3999999999999997E-2</v>
      </c>
      <c r="M130" s="56"/>
      <c r="N130" s="57">
        <v>-5.21E-2</v>
      </c>
      <c r="O130" s="57">
        <v>-4.3499999999999997E-2</v>
      </c>
      <c r="Q130" s="12"/>
      <c r="R130" s="108"/>
      <c r="S130" s="111"/>
      <c r="T130" s="58" t="s">
        <v>14</v>
      </c>
      <c r="U130" s="57">
        <v>0</v>
      </c>
      <c r="V130" s="56">
        <v>0</v>
      </c>
      <c r="W130" s="57">
        <v>0</v>
      </c>
      <c r="X130" s="57">
        <v>0</v>
      </c>
      <c r="Y130" s="92">
        <v>0</v>
      </c>
      <c r="Z130" s="93"/>
      <c r="AA130" s="92">
        <v>0</v>
      </c>
      <c r="AB130" s="92">
        <v>0</v>
      </c>
      <c r="AC130" s="77">
        <v>-7.9000000000000001E-2</v>
      </c>
      <c r="AD130" s="56"/>
      <c r="AE130" s="77"/>
      <c r="AF130" s="77">
        <v>-3.4099999999999998E-2</v>
      </c>
    </row>
    <row r="131" spans="1:32" ht="15.75" thickBot="1">
      <c r="A131" s="108"/>
      <c r="B131" s="110" t="s">
        <v>16</v>
      </c>
      <c r="C131" s="9" t="s">
        <v>13</v>
      </c>
      <c r="D131" s="58" t="s">
        <v>104</v>
      </c>
      <c r="E131" s="56"/>
      <c r="F131" s="58" t="s">
        <v>104</v>
      </c>
      <c r="G131" s="58" t="s">
        <v>104</v>
      </c>
      <c r="H131" s="58" t="s">
        <v>104</v>
      </c>
      <c r="I131" s="56"/>
      <c r="J131" s="58" t="s">
        <v>103</v>
      </c>
      <c r="K131" s="58" t="s">
        <v>104</v>
      </c>
      <c r="L131" s="58" t="s">
        <v>103</v>
      </c>
      <c r="M131" s="56"/>
      <c r="N131" s="58" t="s">
        <v>103</v>
      </c>
      <c r="O131" s="58" t="s">
        <v>103</v>
      </c>
      <c r="Q131" s="12"/>
      <c r="R131" s="108"/>
      <c r="S131" s="110" t="s">
        <v>16</v>
      </c>
      <c r="T131" s="58" t="s">
        <v>13</v>
      </c>
      <c r="U131" s="58" t="s">
        <v>50</v>
      </c>
      <c r="V131" s="56">
        <v>0</v>
      </c>
      <c r="W131" s="58" t="s">
        <v>50</v>
      </c>
      <c r="X131" s="58" t="s">
        <v>50</v>
      </c>
      <c r="Y131" s="94" t="s">
        <v>50</v>
      </c>
      <c r="Z131" s="95"/>
      <c r="AA131" s="94" t="s">
        <v>50</v>
      </c>
      <c r="AB131" s="94" t="s">
        <v>50</v>
      </c>
      <c r="AC131" s="58" t="s">
        <v>103</v>
      </c>
      <c r="AD131" s="56"/>
      <c r="AE131" s="58"/>
      <c r="AF131" s="58" t="s">
        <v>103</v>
      </c>
    </row>
    <row r="132" spans="1:32" ht="15.75" thickBot="1">
      <c r="A132" s="108"/>
      <c r="B132" s="111"/>
      <c r="C132" s="9" t="s">
        <v>14</v>
      </c>
      <c r="D132" s="58" t="s">
        <v>104</v>
      </c>
      <c r="E132" s="56"/>
      <c r="F132" s="58" t="s">
        <v>104</v>
      </c>
      <c r="G132" s="58" t="s">
        <v>104</v>
      </c>
      <c r="H132" s="58" t="s">
        <v>104</v>
      </c>
      <c r="I132" s="56"/>
      <c r="J132" s="58" t="s">
        <v>103</v>
      </c>
      <c r="K132" s="58" t="s">
        <v>103</v>
      </c>
      <c r="L132" s="58" t="s">
        <v>103</v>
      </c>
      <c r="M132" s="56"/>
      <c r="N132" s="58" t="s">
        <v>103</v>
      </c>
      <c r="O132" s="58" t="s">
        <v>103</v>
      </c>
      <c r="Q132" s="12"/>
      <c r="R132" s="108"/>
      <c r="S132" s="111"/>
      <c r="T132" s="58" t="s">
        <v>14</v>
      </c>
      <c r="U132" s="58" t="s">
        <v>50</v>
      </c>
      <c r="V132" s="56">
        <v>0</v>
      </c>
      <c r="W132" s="58" t="s">
        <v>50</v>
      </c>
      <c r="X132" s="58" t="s">
        <v>50</v>
      </c>
      <c r="Y132" s="94" t="s">
        <v>50</v>
      </c>
      <c r="Z132" s="95"/>
      <c r="AA132" s="94" t="s">
        <v>50</v>
      </c>
      <c r="AB132" s="94" t="s">
        <v>50</v>
      </c>
      <c r="AC132" s="58" t="s">
        <v>103</v>
      </c>
      <c r="AD132" s="56"/>
      <c r="AE132" s="58"/>
      <c r="AF132" s="58" t="s">
        <v>103</v>
      </c>
    </row>
    <row r="133" spans="1:32" ht="15.75" customHeight="1" thickBot="1">
      <c r="A133" s="108"/>
      <c r="B133" s="112" t="s">
        <v>63</v>
      </c>
      <c r="C133" s="16" t="s">
        <v>13</v>
      </c>
      <c r="D133" s="64" t="s">
        <v>105</v>
      </c>
      <c r="E133" s="56"/>
      <c r="F133" s="64" t="s">
        <v>105</v>
      </c>
      <c r="G133" s="64" t="s">
        <v>105</v>
      </c>
      <c r="H133" s="64" t="s">
        <v>105</v>
      </c>
      <c r="I133" s="56"/>
      <c r="J133" s="64" t="s">
        <v>105</v>
      </c>
      <c r="K133" s="64" t="s">
        <v>105</v>
      </c>
      <c r="L133" s="64" t="s">
        <v>105</v>
      </c>
      <c r="M133" s="56"/>
      <c r="N133" s="64" t="s">
        <v>105</v>
      </c>
      <c r="O133" s="64" t="s">
        <v>105</v>
      </c>
      <c r="Q133" s="12"/>
      <c r="R133" s="108"/>
      <c r="S133" s="112" t="s">
        <v>63</v>
      </c>
      <c r="T133" s="64" t="s">
        <v>13</v>
      </c>
      <c r="U133" s="64" t="s">
        <v>105</v>
      </c>
      <c r="V133" s="56">
        <v>0</v>
      </c>
      <c r="W133" s="64" t="s">
        <v>105</v>
      </c>
      <c r="X133" s="64" t="s">
        <v>105</v>
      </c>
      <c r="Y133" s="64" t="s">
        <v>105</v>
      </c>
      <c r="Z133" s="56"/>
      <c r="AA133" s="64" t="s">
        <v>105</v>
      </c>
      <c r="AB133" s="64" t="s">
        <v>105</v>
      </c>
      <c r="AC133" s="64" t="s">
        <v>107</v>
      </c>
      <c r="AD133" s="56"/>
      <c r="AE133" s="64"/>
      <c r="AF133" s="64" t="s">
        <v>107</v>
      </c>
    </row>
    <row r="134" spans="1:32" ht="15.75" thickBot="1">
      <c r="A134" s="108"/>
      <c r="B134" s="112"/>
      <c r="C134" s="16" t="s">
        <v>14</v>
      </c>
      <c r="D134" s="64" t="s">
        <v>107</v>
      </c>
      <c r="E134" s="56"/>
      <c r="F134" s="64" t="s">
        <v>105</v>
      </c>
      <c r="G134" s="64" t="s">
        <v>107</v>
      </c>
      <c r="H134" s="64" t="s">
        <v>105</v>
      </c>
      <c r="I134" s="56"/>
      <c r="J134" s="64" t="s">
        <v>105</v>
      </c>
      <c r="K134" s="64" t="s">
        <v>105</v>
      </c>
      <c r="L134" s="64" t="s">
        <v>107</v>
      </c>
      <c r="M134" s="56"/>
      <c r="N134" s="64" t="s">
        <v>105</v>
      </c>
      <c r="O134" s="64" t="s">
        <v>107</v>
      </c>
      <c r="Q134" s="12"/>
      <c r="R134" s="108"/>
      <c r="S134" s="112"/>
      <c r="T134" s="64" t="s">
        <v>14</v>
      </c>
      <c r="U134" s="64" t="s">
        <v>105</v>
      </c>
      <c r="V134" s="56">
        <v>0</v>
      </c>
      <c r="W134" s="64" t="s">
        <v>105</v>
      </c>
      <c r="X134" s="64" t="s">
        <v>105</v>
      </c>
      <c r="Y134" s="64" t="s">
        <v>105</v>
      </c>
      <c r="Z134" s="56"/>
      <c r="AA134" s="64" t="s">
        <v>105</v>
      </c>
      <c r="AB134" s="64" t="s">
        <v>105</v>
      </c>
      <c r="AC134" s="64" t="s">
        <v>107</v>
      </c>
      <c r="AD134" s="56"/>
      <c r="AE134" s="64"/>
      <c r="AF134" s="64" t="s">
        <v>107</v>
      </c>
    </row>
    <row r="135" spans="1:32" ht="15" customHeight="1" thickBot="1">
      <c r="A135" s="108"/>
      <c r="B135" s="112" t="s">
        <v>60</v>
      </c>
      <c r="C135" s="16" t="s">
        <v>13</v>
      </c>
      <c r="D135" s="64">
        <v>0.38737784128831865</v>
      </c>
      <c r="E135" s="56"/>
      <c r="F135" s="64">
        <v>0.99964195885962048</v>
      </c>
      <c r="G135" s="64">
        <v>0.33209882030898341</v>
      </c>
      <c r="H135" s="64">
        <v>0.58104446472051996</v>
      </c>
      <c r="I135" s="56"/>
      <c r="J135" s="64">
        <v>0.92975942460518712</v>
      </c>
      <c r="K135" s="64">
        <v>0.81855209730702827</v>
      </c>
      <c r="L135" s="64">
        <v>0.25858359720759871</v>
      </c>
      <c r="M135" s="56"/>
      <c r="N135" s="64">
        <v>0.75393204224442834</v>
      </c>
      <c r="O135" s="64">
        <v>0.62801275999620143</v>
      </c>
      <c r="Q135" s="12"/>
      <c r="R135" s="108"/>
      <c r="S135" s="112" t="s">
        <v>60</v>
      </c>
      <c r="T135" s="64" t="s">
        <v>13</v>
      </c>
      <c r="U135" s="64"/>
      <c r="V135" s="56"/>
      <c r="W135" s="64"/>
      <c r="X135" s="64"/>
      <c r="Y135" s="64"/>
      <c r="Z135" s="56"/>
      <c r="AA135" s="64"/>
      <c r="AB135" s="64"/>
      <c r="AC135" s="64">
        <v>1.1540050477679305E-2</v>
      </c>
      <c r="AD135" s="56"/>
      <c r="AE135" s="64"/>
      <c r="AF135" s="64">
        <v>1.3764257392876914E-2</v>
      </c>
    </row>
    <row r="136" spans="1:32" ht="15" customHeight="1" thickBot="1">
      <c r="A136" s="109"/>
      <c r="B136" s="112"/>
      <c r="C136" s="16" t="s">
        <v>14</v>
      </c>
      <c r="D136" s="62">
        <v>0.11884429998210763</v>
      </c>
      <c r="E136" s="56"/>
      <c r="F136" s="64">
        <v>0.50257924860671022</v>
      </c>
      <c r="G136" s="64">
        <v>4.4768133232479898E-2</v>
      </c>
      <c r="H136" s="64">
        <v>0.24776052730017184</v>
      </c>
      <c r="I136" s="56"/>
      <c r="J136" s="64">
        <v>0.53289311980159937</v>
      </c>
      <c r="K136" s="64">
        <v>0.94905687819932638</v>
      </c>
      <c r="L136" s="64">
        <v>7.2756605894896869E-3</v>
      </c>
      <c r="M136" s="56"/>
      <c r="N136" s="64">
        <v>0.40982707280057695</v>
      </c>
      <c r="O136" s="64">
        <v>0.19622563403674331</v>
      </c>
      <c r="Q136" s="12"/>
      <c r="R136" s="109"/>
      <c r="S136" s="112"/>
      <c r="T136" s="64" t="s">
        <v>14</v>
      </c>
      <c r="U136" s="64"/>
      <c r="V136" s="56"/>
      <c r="W136" s="64"/>
      <c r="X136" s="64"/>
      <c r="Y136" s="64"/>
      <c r="Z136" s="56"/>
      <c r="AA136" s="64"/>
      <c r="AB136" s="64"/>
      <c r="AC136" s="64">
        <v>9.2736612814987667E-5</v>
      </c>
      <c r="AD136" s="56"/>
      <c r="AE136" s="64"/>
      <c r="AF136" s="64">
        <v>1.1852939080206925E-3</v>
      </c>
    </row>
    <row r="137" spans="1:32" ht="15">
      <c r="A137" s="25"/>
      <c r="B137" s="23"/>
      <c r="C137" s="27"/>
      <c r="D137" s="25"/>
      <c r="E137" s="54"/>
      <c r="F137" s="25"/>
      <c r="G137" s="25"/>
      <c r="H137" s="25"/>
      <c r="I137" s="54"/>
      <c r="J137" s="25"/>
      <c r="K137" s="25"/>
      <c r="L137" s="25"/>
      <c r="M137" s="54"/>
      <c r="N137" s="25"/>
      <c r="O137" s="25"/>
      <c r="Q137" s="12"/>
      <c r="R137" s="25"/>
      <c r="S137" s="35"/>
      <c r="T137" s="53"/>
      <c r="U137" s="53"/>
      <c r="V137" s="54"/>
      <c r="W137" s="53"/>
      <c r="X137" s="53"/>
      <c r="Y137" s="53"/>
      <c r="Z137" s="54"/>
      <c r="AA137" s="53"/>
      <c r="AB137" s="53"/>
      <c r="AC137" s="53"/>
      <c r="AD137" s="54"/>
      <c r="AE137" s="53"/>
      <c r="AF137" s="53"/>
    </row>
    <row r="138" spans="1:32" ht="14.25" thickBot="1">
      <c r="A138" s="5"/>
      <c r="Q138" s="12"/>
    </row>
    <row r="139" spans="1:32" ht="19.5" thickBot="1">
      <c r="A139" s="99" t="s">
        <v>20</v>
      </c>
      <c r="B139" s="100"/>
      <c r="C139" s="101"/>
      <c r="D139" s="102" t="s">
        <v>56</v>
      </c>
      <c r="E139" s="103"/>
      <c r="F139" s="103"/>
      <c r="G139" s="104"/>
      <c r="H139" s="105" t="s">
        <v>57</v>
      </c>
      <c r="I139" s="103"/>
      <c r="J139" s="103"/>
      <c r="K139" s="104"/>
      <c r="L139" s="105" t="s">
        <v>58</v>
      </c>
      <c r="M139" s="103"/>
      <c r="N139" s="103"/>
      <c r="O139" s="106"/>
      <c r="Q139" s="12"/>
      <c r="R139" s="99" t="s">
        <v>20</v>
      </c>
      <c r="S139" s="100"/>
      <c r="T139" s="101"/>
      <c r="U139" s="102" t="s">
        <v>56</v>
      </c>
      <c r="V139" s="103"/>
      <c r="W139" s="103"/>
      <c r="X139" s="104"/>
      <c r="Y139" s="102" t="s">
        <v>57</v>
      </c>
      <c r="Z139" s="103"/>
      <c r="AA139" s="103"/>
      <c r="AB139" s="104"/>
      <c r="AC139" s="102" t="s">
        <v>58</v>
      </c>
      <c r="AD139" s="103"/>
      <c r="AE139" s="103"/>
      <c r="AF139" s="104"/>
    </row>
    <row r="140" spans="1:32" ht="15.75" thickBot="1">
      <c r="A140" s="7" t="s">
        <v>6</v>
      </c>
      <c r="B140" s="76" t="s">
        <v>7</v>
      </c>
      <c r="C140" s="8" t="s">
        <v>8</v>
      </c>
      <c r="D140" s="55" t="s">
        <v>9</v>
      </c>
      <c r="E140" s="55" t="s">
        <v>10</v>
      </c>
      <c r="F140" s="55" t="s">
        <v>11</v>
      </c>
      <c r="G140" s="55" t="s">
        <v>12</v>
      </c>
      <c r="H140" s="55" t="s">
        <v>9</v>
      </c>
      <c r="I140" s="55" t="s">
        <v>10</v>
      </c>
      <c r="J140" s="55" t="s">
        <v>11</v>
      </c>
      <c r="K140" s="55" t="s">
        <v>12</v>
      </c>
      <c r="L140" s="55" t="s">
        <v>9</v>
      </c>
      <c r="M140" s="55" t="s">
        <v>10</v>
      </c>
      <c r="N140" s="55" t="s">
        <v>11</v>
      </c>
      <c r="O140" s="55" t="s">
        <v>12</v>
      </c>
      <c r="Q140" s="12"/>
      <c r="R140" s="7" t="s">
        <v>6</v>
      </c>
      <c r="S140" s="76" t="s">
        <v>7</v>
      </c>
      <c r="T140" s="76" t="s">
        <v>8</v>
      </c>
      <c r="U140" s="55" t="s">
        <v>9</v>
      </c>
      <c r="V140" s="55" t="s">
        <v>10</v>
      </c>
      <c r="W140" s="55" t="s">
        <v>11</v>
      </c>
      <c r="X140" s="55" t="s">
        <v>12</v>
      </c>
      <c r="Y140" s="55" t="s">
        <v>9</v>
      </c>
      <c r="Z140" s="55" t="s">
        <v>10</v>
      </c>
      <c r="AA140" s="55" t="s">
        <v>11</v>
      </c>
      <c r="AB140" s="55" t="s">
        <v>12</v>
      </c>
      <c r="AC140" s="55" t="s">
        <v>9</v>
      </c>
      <c r="AD140" s="55" t="s">
        <v>10</v>
      </c>
      <c r="AE140" s="55" t="s">
        <v>11</v>
      </c>
      <c r="AF140" s="55" t="s">
        <v>12</v>
      </c>
    </row>
    <row r="141" spans="1:32" ht="15" customHeight="1" thickBot="1">
      <c r="A141" s="107" t="s">
        <v>42</v>
      </c>
      <c r="B141" s="107" t="s">
        <v>51</v>
      </c>
      <c r="C141" s="9" t="s">
        <v>13</v>
      </c>
      <c r="D141" s="56">
        <v>-67982.09</v>
      </c>
      <c r="E141" s="56"/>
      <c r="F141" s="56">
        <v>-92878.27</v>
      </c>
      <c r="G141" s="56">
        <v>-100412.79</v>
      </c>
      <c r="H141" s="56">
        <v>-386279.69</v>
      </c>
      <c r="I141" s="56"/>
      <c r="J141" s="56">
        <v>3745.88</v>
      </c>
      <c r="K141" s="56">
        <v>-406885.21</v>
      </c>
      <c r="L141" s="56"/>
      <c r="M141" s="56"/>
      <c r="N141" s="56"/>
      <c r="O141" s="56"/>
      <c r="Q141" s="12"/>
      <c r="R141" s="107" t="s">
        <v>42</v>
      </c>
      <c r="S141" s="107" t="s">
        <v>51</v>
      </c>
      <c r="T141" s="58" t="s">
        <v>13</v>
      </c>
      <c r="U141" s="77">
        <v>-5.0000000000000001E-4</v>
      </c>
      <c r="V141" s="56"/>
      <c r="W141" s="77">
        <v>2.8E-3</v>
      </c>
      <c r="X141" s="77">
        <v>5.9999999999999995E-4</v>
      </c>
      <c r="Y141" s="77">
        <v>-2.3999999999999998E-3</v>
      </c>
      <c r="Z141" s="56"/>
      <c r="AA141" s="77">
        <v>-2.5999999999999999E-3</v>
      </c>
      <c r="AB141" s="77">
        <v>0</v>
      </c>
      <c r="AC141" s="56"/>
      <c r="AD141" s="56"/>
      <c r="AE141" s="56"/>
      <c r="AF141" s="56"/>
    </row>
    <row r="142" spans="1:32" ht="15" customHeight="1" thickBot="1">
      <c r="A142" s="108"/>
      <c r="B142" s="109"/>
      <c r="C142" s="9" t="s">
        <v>14</v>
      </c>
      <c r="D142" s="56">
        <v>-54624.17</v>
      </c>
      <c r="E142" s="56"/>
      <c r="F142" s="56">
        <v>-209431.63</v>
      </c>
      <c r="G142" s="56">
        <v>-186623.9</v>
      </c>
      <c r="H142" s="56">
        <v>-447144.5</v>
      </c>
      <c r="I142" s="56"/>
      <c r="J142" s="56">
        <v>-33580.629999999997</v>
      </c>
      <c r="K142" s="56">
        <v>-568687.02</v>
      </c>
      <c r="L142" s="56"/>
      <c r="M142" s="56"/>
      <c r="N142" s="56"/>
      <c r="O142" s="56"/>
      <c r="Q142" s="12"/>
      <c r="R142" s="108"/>
      <c r="S142" s="109"/>
      <c r="T142" s="58" t="s">
        <v>14</v>
      </c>
      <c r="U142" s="77">
        <v>-8.0000000000000004E-4</v>
      </c>
      <c r="V142" s="56"/>
      <c r="W142" s="77">
        <v>0</v>
      </c>
      <c r="X142" s="77">
        <v>-5.0000000000000001E-4</v>
      </c>
      <c r="Y142" s="77">
        <v>-3.0000000000000001E-3</v>
      </c>
      <c r="Z142" s="56"/>
      <c r="AA142" s="77">
        <v>-3.0000000000000001E-3</v>
      </c>
      <c r="AB142" s="77">
        <v>-4.0000000000000002E-4</v>
      </c>
      <c r="AC142" s="56"/>
      <c r="AD142" s="56"/>
      <c r="AE142" s="56"/>
      <c r="AF142" s="56"/>
    </row>
    <row r="143" spans="1:32" ht="15.75" thickBot="1">
      <c r="A143" s="108"/>
      <c r="B143" s="110" t="s">
        <v>15</v>
      </c>
      <c r="C143" s="9" t="s">
        <v>13</v>
      </c>
      <c r="D143" s="57">
        <v>-1.9400000000000001E-2</v>
      </c>
      <c r="E143" s="56"/>
      <c r="F143" s="57">
        <v>-1.9900000000000001E-2</v>
      </c>
      <c r="G143" s="57">
        <v>-1.23E-2</v>
      </c>
      <c r="H143" s="57">
        <v>-8.7599999999999997E-2</v>
      </c>
      <c r="I143" s="56"/>
      <c r="J143" s="57">
        <v>8.0000000000000004E-4</v>
      </c>
      <c r="K143" s="57">
        <v>-4.3400000000000001E-2</v>
      </c>
      <c r="L143" s="56"/>
      <c r="M143" s="56"/>
      <c r="N143" s="56"/>
      <c r="O143" s="56"/>
      <c r="Q143" s="12"/>
      <c r="R143" s="108"/>
      <c r="S143" s="110" t="s">
        <v>15</v>
      </c>
      <c r="T143" s="58" t="s">
        <v>13</v>
      </c>
      <c r="U143" s="57">
        <v>-2.4899999999999999E-2</v>
      </c>
      <c r="V143" s="56"/>
      <c r="W143" s="57">
        <v>5.96E-2</v>
      </c>
      <c r="X143" s="57">
        <v>2.24E-2</v>
      </c>
      <c r="Y143" s="57">
        <v>-9.7000000000000003E-2</v>
      </c>
      <c r="Z143" s="56"/>
      <c r="AA143" s="57">
        <v>-5.2999999999999999E-2</v>
      </c>
      <c r="AB143" s="57">
        <v>2.0000000000000001E-4</v>
      </c>
      <c r="AC143" s="56"/>
      <c r="AD143" s="56"/>
      <c r="AE143" s="56"/>
      <c r="AF143" s="56"/>
    </row>
    <row r="144" spans="1:32" ht="15.75" thickBot="1">
      <c r="A144" s="108"/>
      <c r="B144" s="111"/>
      <c r="C144" s="9" t="s">
        <v>14</v>
      </c>
      <c r="D144" s="57">
        <v>-1.46E-2</v>
      </c>
      <c r="E144" s="56"/>
      <c r="F144" s="57">
        <v>-4.3400000000000001E-2</v>
      </c>
      <c r="G144" s="57">
        <v>-2.18E-2</v>
      </c>
      <c r="H144" s="57">
        <v>-9.9400000000000002E-2</v>
      </c>
      <c r="I144" s="56"/>
      <c r="J144" s="57">
        <v>-6.7999999999999996E-3</v>
      </c>
      <c r="K144" s="57">
        <v>-6.0199999999999997E-2</v>
      </c>
      <c r="L144" s="56"/>
      <c r="M144" s="56"/>
      <c r="N144" s="56"/>
      <c r="O144" s="56"/>
      <c r="Q144" s="12"/>
      <c r="R144" s="108"/>
      <c r="S144" s="111"/>
      <c r="T144" s="58" t="s">
        <v>14</v>
      </c>
      <c r="U144" s="57">
        <v>-3.4599999999999999E-2</v>
      </c>
      <c r="V144" s="56"/>
      <c r="W144" s="57">
        <v>-1E-3</v>
      </c>
      <c r="X144" s="57">
        <v>-1.9300000000000001E-2</v>
      </c>
      <c r="Y144" s="57">
        <v>-0.1234</v>
      </c>
      <c r="Z144" s="56"/>
      <c r="AA144" s="57">
        <v>-6.2199999999999998E-2</v>
      </c>
      <c r="AB144" s="57">
        <v>-1.55E-2</v>
      </c>
      <c r="AC144" s="56"/>
      <c r="AD144" s="56"/>
      <c r="AE144" s="56"/>
      <c r="AF144" s="56"/>
    </row>
    <row r="145" spans="1:32" ht="15.75" thickBot="1">
      <c r="A145" s="108"/>
      <c r="B145" s="110" t="s">
        <v>16</v>
      </c>
      <c r="C145" s="9" t="s">
        <v>13</v>
      </c>
      <c r="D145" s="58" t="s">
        <v>103</v>
      </c>
      <c r="E145" s="56"/>
      <c r="F145" s="58" t="s">
        <v>103</v>
      </c>
      <c r="G145" s="58" t="s">
        <v>103</v>
      </c>
      <c r="H145" s="58" t="s">
        <v>103</v>
      </c>
      <c r="I145" s="56"/>
      <c r="J145" s="58" t="s">
        <v>104</v>
      </c>
      <c r="K145" s="58" t="s">
        <v>103</v>
      </c>
      <c r="L145" s="56"/>
      <c r="M145" s="56"/>
      <c r="N145" s="56"/>
      <c r="O145" s="56"/>
      <c r="Q145" s="12"/>
      <c r="R145" s="108"/>
      <c r="S145" s="110" t="s">
        <v>16</v>
      </c>
      <c r="T145" s="58" t="s">
        <v>13</v>
      </c>
      <c r="U145" s="58" t="s">
        <v>103</v>
      </c>
      <c r="V145" s="56"/>
      <c r="W145" s="58" t="s">
        <v>104</v>
      </c>
      <c r="X145" s="58" t="s">
        <v>104</v>
      </c>
      <c r="Y145" s="58" t="s">
        <v>103</v>
      </c>
      <c r="Z145" s="56"/>
      <c r="AA145" s="58" t="s">
        <v>103</v>
      </c>
      <c r="AB145" s="58" t="s">
        <v>104</v>
      </c>
      <c r="AC145" s="56"/>
      <c r="AD145" s="56"/>
      <c r="AE145" s="56"/>
      <c r="AF145" s="56"/>
    </row>
    <row r="146" spans="1:32" ht="15.75" thickBot="1">
      <c r="A146" s="108"/>
      <c r="B146" s="111"/>
      <c r="C146" s="9" t="s">
        <v>14</v>
      </c>
      <c r="D146" s="58" t="s">
        <v>103</v>
      </c>
      <c r="E146" s="56"/>
      <c r="F146" s="58" t="s">
        <v>103</v>
      </c>
      <c r="G146" s="58" t="s">
        <v>103</v>
      </c>
      <c r="H146" s="58" t="s">
        <v>103</v>
      </c>
      <c r="I146" s="56"/>
      <c r="J146" s="58" t="s">
        <v>103</v>
      </c>
      <c r="K146" s="58" t="s">
        <v>103</v>
      </c>
      <c r="L146" s="56"/>
      <c r="M146" s="56"/>
      <c r="N146" s="56"/>
      <c r="O146" s="56"/>
      <c r="Q146" s="12"/>
      <c r="R146" s="108"/>
      <c r="S146" s="111"/>
      <c r="T146" s="58" t="s">
        <v>14</v>
      </c>
      <c r="U146" s="58" t="s">
        <v>103</v>
      </c>
      <c r="V146" s="56"/>
      <c r="W146" s="58" t="s">
        <v>103</v>
      </c>
      <c r="X146" s="58" t="s">
        <v>103</v>
      </c>
      <c r="Y146" s="58" t="s">
        <v>103</v>
      </c>
      <c r="Z146" s="56"/>
      <c r="AA146" s="58" t="s">
        <v>103</v>
      </c>
      <c r="AB146" s="58" t="s">
        <v>103</v>
      </c>
      <c r="AC146" s="56"/>
      <c r="AD146" s="56"/>
      <c r="AE146" s="56"/>
      <c r="AF146" s="56"/>
    </row>
    <row r="147" spans="1:32" ht="15.75" customHeight="1" thickBot="1">
      <c r="A147" s="108"/>
      <c r="B147" s="112" t="s">
        <v>63</v>
      </c>
      <c r="C147" s="16" t="s">
        <v>13</v>
      </c>
      <c r="D147" s="64" t="s">
        <v>105</v>
      </c>
      <c r="E147" s="56"/>
      <c r="F147" s="64" t="s">
        <v>105</v>
      </c>
      <c r="G147" s="64" t="s">
        <v>105</v>
      </c>
      <c r="H147" s="64" t="s">
        <v>107</v>
      </c>
      <c r="I147" s="56"/>
      <c r="J147" s="64" t="s">
        <v>105</v>
      </c>
      <c r="K147" s="64" t="s">
        <v>105</v>
      </c>
      <c r="L147" s="56"/>
      <c r="M147" s="56"/>
      <c r="N147" s="56"/>
      <c r="O147" s="56"/>
      <c r="Q147" s="12"/>
      <c r="R147" s="108"/>
      <c r="S147" s="112" t="s">
        <v>63</v>
      </c>
      <c r="T147" s="64" t="s">
        <v>13</v>
      </c>
      <c r="U147" s="64" t="s">
        <v>105</v>
      </c>
      <c r="V147" s="56"/>
      <c r="W147" s="64" t="s">
        <v>105</v>
      </c>
      <c r="X147" s="64" t="s">
        <v>105</v>
      </c>
      <c r="Y147" s="64" t="s">
        <v>107</v>
      </c>
      <c r="Z147" s="56"/>
      <c r="AA147" s="64" t="s">
        <v>107</v>
      </c>
      <c r="AB147" s="64" t="s">
        <v>105</v>
      </c>
      <c r="AC147" s="56"/>
      <c r="AD147" s="56"/>
      <c r="AE147" s="56"/>
      <c r="AF147" s="56"/>
    </row>
    <row r="148" spans="1:32" ht="15.75" thickBot="1">
      <c r="A148" s="108"/>
      <c r="B148" s="112"/>
      <c r="C148" s="16" t="s">
        <v>14</v>
      </c>
      <c r="D148" s="64" t="s">
        <v>105</v>
      </c>
      <c r="E148" s="56"/>
      <c r="F148" s="64" t="s">
        <v>105</v>
      </c>
      <c r="G148" s="64" t="s">
        <v>105</v>
      </c>
      <c r="H148" s="64" t="s">
        <v>107</v>
      </c>
      <c r="I148" s="56"/>
      <c r="J148" s="64" t="s">
        <v>105</v>
      </c>
      <c r="K148" s="64" t="s">
        <v>107</v>
      </c>
      <c r="L148" s="56"/>
      <c r="M148" s="56"/>
      <c r="N148" s="56"/>
      <c r="O148" s="56"/>
      <c r="Q148" s="12"/>
      <c r="R148" s="108"/>
      <c r="S148" s="112"/>
      <c r="T148" s="64" t="s">
        <v>14</v>
      </c>
      <c r="U148" s="64" t="s">
        <v>105</v>
      </c>
      <c r="V148" s="56"/>
      <c r="W148" s="64" t="s">
        <v>105</v>
      </c>
      <c r="X148" s="64" t="s">
        <v>105</v>
      </c>
      <c r="Y148" s="64" t="s">
        <v>107</v>
      </c>
      <c r="Z148" s="56"/>
      <c r="AA148" s="64" t="s">
        <v>107</v>
      </c>
      <c r="AB148" s="64" t="s">
        <v>105</v>
      </c>
      <c r="AC148" s="56"/>
      <c r="AD148" s="56"/>
      <c r="AE148" s="56"/>
      <c r="AF148" s="56"/>
    </row>
    <row r="149" spans="1:32" ht="15" customHeight="1" thickBot="1">
      <c r="A149" s="108"/>
      <c r="B149" s="112" t="s">
        <v>60</v>
      </c>
      <c r="C149" s="16" t="s">
        <v>13</v>
      </c>
      <c r="D149" s="64">
        <v>0.68811886276230327</v>
      </c>
      <c r="E149" s="56"/>
      <c r="F149" s="64">
        <v>0.85211201551757598</v>
      </c>
      <c r="G149" s="64">
        <v>0.89353585166929272</v>
      </c>
      <c r="H149" s="64">
        <v>7.3956503232650711E-2</v>
      </c>
      <c r="I149" s="56"/>
      <c r="J149" s="64">
        <v>0.99490906184827765</v>
      </c>
      <c r="K149" s="64">
        <v>0.45755364080658978</v>
      </c>
      <c r="L149" s="56"/>
      <c r="M149" s="56"/>
      <c r="N149" s="56"/>
      <c r="O149" s="56"/>
      <c r="Q149" s="12"/>
      <c r="R149" s="108"/>
      <c r="S149" s="112" t="s">
        <v>60</v>
      </c>
      <c r="T149" s="64" t="s">
        <v>13</v>
      </c>
      <c r="U149" s="64">
        <v>0.5032737447875979</v>
      </c>
      <c r="V149" s="56"/>
      <c r="W149" s="64">
        <v>0.20434325493284289</v>
      </c>
      <c r="X149" s="64">
        <v>0.60877334668247374</v>
      </c>
      <c r="Y149" s="64">
        <v>2.4390135844528575E-3</v>
      </c>
      <c r="Z149" s="56"/>
      <c r="AA149" s="64">
        <v>6.4918009161460941E-2</v>
      </c>
      <c r="AB149" s="64">
        <v>0.99049145253249371</v>
      </c>
      <c r="AC149" s="56"/>
      <c r="AD149" s="56"/>
      <c r="AE149" s="56"/>
      <c r="AF149" s="56"/>
    </row>
    <row r="150" spans="1:32" ht="15" customHeight="1" thickBot="1">
      <c r="A150" s="109"/>
      <c r="B150" s="112"/>
      <c r="C150" s="16" t="s">
        <v>14</v>
      </c>
      <c r="D150" s="64">
        <v>0.75062305392976181</v>
      </c>
      <c r="E150" s="56"/>
      <c r="F150" s="64">
        <v>0.52348372047417169</v>
      </c>
      <c r="G150" s="64">
        <v>0.72012388080072509</v>
      </c>
      <c r="H150" s="64">
        <v>3.6733834000068624E-3</v>
      </c>
      <c r="I150" s="56"/>
      <c r="J150" s="64">
        <v>0.92211024618281368</v>
      </c>
      <c r="K150" s="64">
        <v>6.3566423367008434E-2</v>
      </c>
      <c r="L150" s="56"/>
      <c r="M150" s="56"/>
      <c r="N150" s="56"/>
      <c r="O150" s="56"/>
      <c r="Q150" s="12"/>
      <c r="R150" s="109"/>
      <c r="S150" s="112"/>
      <c r="T150" s="64" t="s">
        <v>14</v>
      </c>
      <c r="U150" s="64">
        <v>0.3753026127378869</v>
      </c>
      <c r="V150" s="56"/>
      <c r="W150" s="64">
        <v>0.98694563819106873</v>
      </c>
      <c r="X150" s="64">
        <v>0.65250237460147198</v>
      </c>
      <c r="Y150" s="64">
        <v>1.9414458768221241E-5</v>
      </c>
      <c r="Z150" s="56"/>
      <c r="AA150" s="64">
        <v>1.9119291789757503E-4</v>
      </c>
      <c r="AB150" s="64">
        <v>0.21489502769448376</v>
      </c>
      <c r="AC150" s="56"/>
      <c r="AD150" s="56"/>
      <c r="AE150" s="56"/>
      <c r="AF150" s="56"/>
    </row>
    <row r="151" spans="1:32" ht="15">
      <c r="A151" s="25"/>
      <c r="B151" s="35"/>
      <c r="C151" s="24"/>
      <c r="D151" s="53"/>
      <c r="E151" s="54"/>
      <c r="F151" s="53"/>
      <c r="G151" s="53"/>
      <c r="H151" s="53"/>
      <c r="I151" s="54"/>
      <c r="J151" s="53"/>
      <c r="K151" s="53"/>
      <c r="L151" s="54"/>
      <c r="M151" s="54"/>
      <c r="N151" s="54"/>
      <c r="O151" s="54"/>
      <c r="Q151" s="12"/>
      <c r="R151" s="25"/>
      <c r="S151" s="23"/>
      <c r="T151" s="25"/>
      <c r="U151" s="25"/>
      <c r="V151" s="54"/>
      <c r="W151" s="25"/>
      <c r="X151" s="25"/>
      <c r="Y151" s="25"/>
      <c r="Z151" s="54"/>
      <c r="AA151" s="25"/>
      <c r="AB151" s="25"/>
      <c r="AC151" s="54"/>
      <c r="AD151" s="54"/>
      <c r="AE151" s="54"/>
      <c r="AF151" s="54"/>
    </row>
    <row r="152" spans="1:32" ht="14.25" thickBot="1">
      <c r="A152" s="5"/>
      <c r="Q152" s="12"/>
    </row>
    <row r="153" spans="1:32" ht="19.5" thickBot="1">
      <c r="A153" s="99" t="s">
        <v>20</v>
      </c>
      <c r="B153" s="100"/>
      <c r="C153" s="101"/>
      <c r="D153" s="102" t="s">
        <v>27</v>
      </c>
      <c r="E153" s="103"/>
      <c r="F153" s="103"/>
      <c r="G153" s="104"/>
      <c r="H153" s="105" t="s">
        <v>28</v>
      </c>
      <c r="I153" s="103"/>
      <c r="J153" s="103"/>
      <c r="K153" s="104"/>
      <c r="L153" s="105" t="s">
        <v>29</v>
      </c>
      <c r="M153" s="103"/>
      <c r="N153" s="103"/>
      <c r="O153" s="106"/>
      <c r="Q153" s="12"/>
      <c r="R153" s="99" t="s">
        <v>20</v>
      </c>
      <c r="S153" s="100"/>
      <c r="T153" s="101"/>
      <c r="U153" s="102" t="s">
        <v>27</v>
      </c>
      <c r="V153" s="103"/>
      <c r="W153" s="103"/>
      <c r="X153" s="104"/>
      <c r="Y153" s="102" t="s">
        <v>28</v>
      </c>
      <c r="Z153" s="103"/>
      <c r="AA153" s="103"/>
      <c r="AB153" s="104"/>
      <c r="AC153" s="102" t="s">
        <v>29</v>
      </c>
      <c r="AD153" s="103"/>
      <c r="AE153" s="103"/>
      <c r="AF153" s="104"/>
    </row>
    <row r="154" spans="1:32" ht="15.75" thickBot="1">
      <c r="A154" s="7" t="s">
        <v>6</v>
      </c>
      <c r="B154" s="76" t="s">
        <v>7</v>
      </c>
      <c r="C154" s="8" t="s">
        <v>8</v>
      </c>
      <c r="D154" s="55" t="s">
        <v>9</v>
      </c>
      <c r="E154" s="55" t="s">
        <v>10</v>
      </c>
      <c r="F154" s="55" t="s">
        <v>11</v>
      </c>
      <c r="G154" s="55" t="s">
        <v>12</v>
      </c>
      <c r="H154" s="55" t="s">
        <v>9</v>
      </c>
      <c r="I154" s="55" t="s">
        <v>10</v>
      </c>
      <c r="J154" s="55" t="s">
        <v>11</v>
      </c>
      <c r="K154" s="55" t="s">
        <v>12</v>
      </c>
      <c r="L154" s="55" t="s">
        <v>9</v>
      </c>
      <c r="M154" s="55" t="s">
        <v>10</v>
      </c>
      <c r="N154" s="55" t="s">
        <v>11</v>
      </c>
      <c r="O154" s="55" t="s">
        <v>12</v>
      </c>
      <c r="Q154" s="12"/>
      <c r="R154" s="7" t="s">
        <v>6</v>
      </c>
      <c r="S154" s="76" t="s">
        <v>7</v>
      </c>
      <c r="T154" s="76" t="s">
        <v>8</v>
      </c>
      <c r="U154" s="55" t="s">
        <v>9</v>
      </c>
      <c r="V154" s="55" t="s">
        <v>10</v>
      </c>
      <c r="W154" s="55" t="s">
        <v>11</v>
      </c>
      <c r="X154" s="55" t="s">
        <v>12</v>
      </c>
      <c r="Y154" s="55" t="s">
        <v>9</v>
      </c>
      <c r="Z154" s="55" t="s">
        <v>10</v>
      </c>
      <c r="AA154" s="55" t="s">
        <v>11</v>
      </c>
      <c r="AB154" s="55" t="s">
        <v>12</v>
      </c>
      <c r="AC154" s="55" t="s">
        <v>9</v>
      </c>
      <c r="AD154" s="55" t="s">
        <v>10</v>
      </c>
      <c r="AE154" s="55" t="s">
        <v>11</v>
      </c>
      <c r="AF154" s="55" t="s">
        <v>12</v>
      </c>
    </row>
    <row r="155" spans="1:32" ht="15.75" customHeight="1" thickBot="1">
      <c r="A155" s="107" t="s">
        <v>33</v>
      </c>
      <c r="B155" s="107" t="s">
        <v>51</v>
      </c>
      <c r="C155" s="9" t="s">
        <v>13</v>
      </c>
      <c r="D155" s="56"/>
      <c r="E155" s="56">
        <v>-1700005.0049038995</v>
      </c>
      <c r="F155" s="56"/>
      <c r="G155" s="56">
        <v>-1700005.0049038995</v>
      </c>
      <c r="H155" s="56"/>
      <c r="I155" s="56">
        <v>3219983.9434969649</v>
      </c>
      <c r="J155" s="56"/>
      <c r="K155" s="56">
        <v>3219983.9434969649</v>
      </c>
      <c r="L155" s="56"/>
      <c r="M155" s="56">
        <v>3614715.1083628014</v>
      </c>
      <c r="N155" s="56">
        <v>-89268.3920934333</v>
      </c>
      <c r="O155" s="56">
        <v>-1441738.492696099</v>
      </c>
      <c r="Q155" s="12"/>
      <c r="R155" s="107" t="s">
        <v>33</v>
      </c>
      <c r="S155" s="107" t="s">
        <v>51</v>
      </c>
      <c r="T155" s="58" t="s">
        <v>13</v>
      </c>
      <c r="U155" s="56"/>
      <c r="V155" s="77">
        <v>-1.3618556572844304E-3</v>
      </c>
      <c r="W155" s="56"/>
      <c r="X155" s="77">
        <v>-3.8227207702103833E-4</v>
      </c>
      <c r="Y155" s="56"/>
      <c r="Z155" s="77">
        <v>3.2626098093476996E-3</v>
      </c>
      <c r="AA155" s="56"/>
      <c r="AB155" s="77">
        <v>8.2054368534736737E-4</v>
      </c>
      <c r="AC155" s="56"/>
      <c r="AD155" s="77">
        <v>1.2004716488064893E-4</v>
      </c>
      <c r="AE155" s="77">
        <v>-2.3574142678944019E-4</v>
      </c>
      <c r="AF155" s="77">
        <v>-1.1609481520159642E-3</v>
      </c>
    </row>
    <row r="156" spans="1:32" ht="15.75" thickBot="1">
      <c r="A156" s="108"/>
      <c r="B156" s="109"/>
      <c r="C156" s="9" t="s">
        <v>14</v>
      </c>
      <c r="D156" s="56"/>
      <c r="E156" s="56">
        <v>-1662305.4343652353</v>
      </c>
      <c r="F156" s="56"/>
      <c r="G156" s="56">
        <v>-1662305.4343652353</v>
      </c>
      <c r="H156" s="56"/>
      <c r="I156" s="56">
        <v>3440727.7350409999</v>
      </c>
      <c r="J156" s="56"/>
      <c r="K156" s="56">
        <v>3440727.7350409999</v>
      </c>
      <c r="L156" s="56"/>
      <c r="M156" s="56">
        <v>5414394.7316934988</v>
      </c>
      <c r="N156" s="56">
        <v>-92635.334370558383</v>
      </c>
      <c r="O156" s="56">
        <v>-355793.14562267065</v>
      </c>
      <c r="Q156" s="12"/>
      <c r="R156" s="108"/>
      <c r="S156" s="109"/>
      <c r="T156" s="58" t="s">
        <v>14</v>
      </c>
      <c r="U156" s="56"/>
      <c r="V156" s="77">
        <v>-2.5282133875663415E-3</v>
      </c>
      <c r="W156" s="56"/>
      <c r="X156" s="77">
        <v>-6.913234410427585E-4</v>
      </c>
      <c r="Y156" s="56"/>
      <c r="Z156" s="77">
        <v>4.4815260551003544E-3</v>
      </c>
      <c r="AA156" s="56"/>
      <c r="AB156" s="77">
        <v>9.6863242525103282E-4</v>
      </c>
      <c r="AC156" s="56"/>
      <c r="AD156" s="77">
        <v>4.0883938736676617E-3</v>
      </c>
      <c r="AE156" s="77">
        <v>-2.2803760313331515E-4</v>
      </c>
      <c r="AF156" s="77">
        <v>-5.8084978042404964E-4</v>
      </c>
    </row>
    <row r="157" spans="1:32" ht="15.75" thickBot="1">
      <c r="A157" s="108"/>
      <c r="B157" s="110" t="s">
        <v>15</v>
      </c>
      <c r="C157" s="9" t="s">
        <v>13</v>
      </c>
      <c r="D157" s="56"/>
      <c r="E157" s="57">
        <v>-0.12517143563634267</v>
      </c>
      <c r="F157" s="56"/>
      <c r="G157" s="57">
        <v>-0.12517143563634267</v>
      </c>
      <c r="H157" s="56"/>
      <c r="I157" s="57">
        <v>0.13779922738599118</v>
      </c>
      <c r="J157" s="56"/>
      <c r="K157" s="57">
        <v>0.13779922738599118</v>
      </c>
      <c r="L157" s="56"/>
      <c r="M157" s="57">
        <v>9.2796993680308235E-2</v>
      </c>
      <c r="N157" s="57">
        <v>-6.6135022554199771E-2</v>
      </c>
      <c r="O157" s="57">
        <v>-3.5772731305819094E-2</v>
      </c>
      <c r="Q157" s="12"/>
      <c r="R157" s="108"/>
      <c r="S157" s="110" t="s">
        <v>15</v>
      </c>
      <c r="T157" s="58" t="s">
        <v>13</v>
      </c>
      <c r="U157" s="56"/>
      <c r="V157" s="57">
        <v>-1.8820674421164252E-2</v>
      </c>
      <c r="W157" s="56"/>
      <c r="X157" s="57">
        <v>-4.2091785543141309E-2</v>
      </c>
      <c r="Y157" s="56"/>
      <c r="Z157" s="57">
        <v>3.163324890422984E-2</v>
      </c>
      <c r="AA157" s="56"/>
      <c r="AB157" s="57">
        <v>6.4183010208854752E-2</v>
      </c>
      <c r="AC157" s="56"/>
      <c r="AD157" s="57">
        <v>8.8941971350818018E-4</v>
      </c>
      <c r="AE157" s="57">
        <v>-0.14409344145639161</v>
      </c>
      <c r="AF157" s="57">
        <v>-6.712900136404823E-2</v>
      </c>
    </row>
    <row r="158" spans="1:32" ht="15.75" thickBot="1">
      <c r="A158" s="108"/>
      <c r="B158" s="111"/>
      <c r="C158" s="9" t="s">
        <v>14</v>
      </c>
      <c r="D158" s="56"/>
      <c r="E158" s="57">
        <v>-0.11906511906701484</v>
      </c>
      <c r="F158" s="56"/>
      <c r="G158" s="57">
        <v>-0.11906511906701484</v>
      </c>
      <c r="H158" s="56"/>
      <c r="I158" s="57">
        <v>0.14557109982814398</v>
      </c>
      <c r="J158" s="56"/>
      <c r="K158" s="57">
        <v>0.14557109982814398</v>
      </c>
      <c r="L158" s="56"/>
      <c r="M158" s="63">
        <v>0.132763001849004</v>
      </c>
      <c r="N158" s="57">
        <v>-6.0494372035981327E-2</v>
      </c>
      <c r="O158" s="57">
        <v>-8.4084598492680258E-3</v>
      </c>
      <c r="Q158" s="12"/>
      <c r="R158" s="108"/>
      <c r="S158" s="111"/>
      <c r="T158" s="58" t="s">
        <v>14</v>
      </c>
      <c r="U158" s="56"/>
      <c r="V158" s="57">
        <v>-3.37561451585923E-2</v>
      </c>
      <c r="W158" s="56"/>
      <c r="X158" s="57">
        <v>-7.4263031544942709E-2</v>
      </c>
      <c r="Y158" s="56"/>
      <c r="Z158" s="57">
        <v>4.2604127782345631E-2</v>
      </c>
      <c r="AA158" s="56"/>
      <c r="AB158" s="57">
        <v>7.4788173241607692E-2</v>
      </c>
      <c r="AC158" s="56"/>
      <c r="AD158" s="63">
        <v>2.9201282502738814E-2</v>
      </c>
      <c r="AE158" s="57">
        <v>-0.12077599292375318</v>
      </c>
      <c r="AF158" s="57">
        <v>-3.1639109299452281E-2</v>
      </c>
    </row>
    <row r="159" spans="1:32" ht="15.75" thickBot="1">
      <c r="A159" s="108"/>
      <c r="B159" s="110" t="s">
        <v>16</v>
      </c>
      <c r="C159" s="9" t="s">
        <v>13</v>
      </c>
      <c r="D159" s="56"/>
      <c r="E159" s="58" t="s">
        <v>103</v>
      </c>
      <c r="F159" s="56"/>
      <c r="G159" s="58" t="s">
        <v>103</v>
      </c>
      <c r="H159" s="56"/>
      <c r="I159" s="58" t="s">
        <v>104</v>
      </c>
      <c r="J159" s="56"/>
      <c r="K159" s="58" t="s">
        <v>104</v>
      </c>
      <c r="L159" s="56"/>
      <c r="M159" s="58" t="s">
        <v>104</v>
      </c>
      <c r="N159" s="58" t="s">
        <v>103</v>
      </c>
      <c r="O159" s="58" t="s">
        <v>103</v>
      </c>
      <c r="Q159" s="12"/>
      <c r="R159" s="108"/>
      <c r="S159" s="110" t="s">
        <v>16</v>
      </c>
      <c r="T159" s="58" t="s">
        <v>13</v>
      </c>
      <c r="U159" s="56"/>
      <c r="V159" s="58" t="s">
        <v>103</v>
      </c>
      <c r="W159" s="56"/>
      <c r="X159" s="58" t="s">
        <v>103</v>
      </c>
      <c r="Y159" s="56"/>
      <c r="Z159" s="58" t="s">
        <v>104</v>
      </c>
      <c r="AA159" s="56"/>
      <c r="AB159" s="58" t="s">
        <v>104</v>
      </c>
      <c r="AC159" s="56"/>
      <c r="AD159" s="58" t="s">
        <v>104</v>
      </c>
      <c r="AE159" s="58" t="s">
        <v>103</v>
      </c>
      <c r="AF159" s="58" t="s">
        <v>103</v>
      </c>
    </row>
    <row r="160" spans="1:32" ht="15.75" thickBot="1">
      <c r="A160" s="108"/>
      <c r="B160" s="111"/>
      <c r="C160" s="9" t="s">
        <v>14</v>
      </c>
      <c r="D160" s="56"/>
      <c r="E160" s="58" t="s">
        <v>103</v>
      </c>
      <c r="F160" s="56"/>
      <c r="G160" s="58" t="s">
        <v>103</v>
      </c>
      <c r="H160" s="56"/>
      <c r="I160" s="58" t="s">
        <v>104</v>
      </c>
      <c r="J160" s="56"/>
      <c r="K160" s="58" t="s">
        <v>104</v>
      </c>
      <c r="L160" s="56"/>
      <c r="M160" s="58" t="s">
        <v>104</v>
      </c>
      <c r="N160" s="58" t="s">
        <v>103</v>
      </c>
      <c r="O160" s="58" t="s">
        <v>103</v>
      </c>
      <c r="Q160" s="12"/>
      <c r="R160" s="108"/>
      <c r="S160" s="111"/>
      <c r="T160" s="58" t="s">
        <v>14</v>
      </c>
      <c r="U160" s="56"/>
      <c r="V160" s="58" t="s">
        <v>103</v>
      </c>
      <c r="W160" s="56"/>
      <c r="X160" s="58" t="s">
        <v>103</v>
      </c>
      <c r="Y160" s="56"/>
      <c r="Z160" s="58" t="s">
        <v>104</v>
      </c>
      <c r="AA160" s="56"/>
      <c r="AB160" s="58" t="s">
        <v>104</v>
      </c>
      <c r="AC160" s="56"/>
      <c r="AD160" s="58" t="s">
        <v>104</v>
      </c>
      <c r="AE160" s="58" t="s">
        <v>103</v>
      </c>
      <c r="AF160" s="58" t="s">
        <v>103</v>
      </c>
    </row>
    <row r="161" spans="1:32" ht="15.75" customHeight="1" thickBot="1">
      <c r="A161" s="108"/>
      <c r="B161" s="113" t="s">
        <v>63</v>
      </c>
      <c r="C161" s="33" t="s">
        <v>13</v>
      </c>
      <c r="D161" s="61"/>
      <c r="E161" s="65" t="s">
        <v>105</v>
      </c>
      <c r="F161" s="61"/>
      <c r="G161" s="65" t="s">
        <v>105</v>
      </c>
      <c r="H161" s="61"/>
      <c r="I161" s="65" t="s">
        <v>107</v>
      </c>
      <c r="J161" s="61"/>
      <c r="K161" s="65" t="s">
        <v>107</v>
      </c>
      <c r="L161" s="61"/>
      <c r="M161" s="65" t="s">
        <v>107</v>
      </c>
      <c r="N161" s="65" t="s">
        <v>105</v>
      </c>
      <c r="O161" s="65" t="s">
        <v>105</v>
      </c>
      <c r="Q161" s="12"/>
      <c r="R161" s="108"/>
      <c r="S161" s="114" t="s">
        <v>63</v>
      </c>
      <c r="T161" s="65" t="s">
        <v>13</v>
      </c>
      <c r="U161" s="61"/>
      <c r="V161" s="65" t="s">
        <v>105</v>
      </c>
      <c r="W161" s="61"/>
      <c r="X161" s="65" t="s">
        <v>105</v>
      </c>
      <c r="Y161" s="61"/>
      <c r="Z161" s="65" t="s">
        <v>105</v>
      </c>
      <c r="AA161" s="61"/>
      <c r="AB161" s="65" t="s">
        <v>105</v>
      </c>
      <c r="AC161" s="61"/>
      <c r="AD161" s="65" t="s">
        <v>105</v>
      </c>
      <c r="AE161" s="65" t="s">
        <v>107</v>
      </c>
      <c r="AF161" s="65" t="s">
        <v>105</v>
      </c>
    </row>
    <row r="162" spans="1:32" ht="14.25" thickBot="1">
      <c r="A162" s="108"/>
      <c r="B162" s="113"/>
      <c r="C162" s="33" t="s">
        <v>14</v>
      </c>
      <c r="D162" s="61"/>
      <c r="E162" s="65" t="s">
        <v>107</v>
      </c>
      <c r="F162" s="61"/>
      <c r="G162" s="65" t="s">
        <v>107</v>
      </c>
      <c r="H162" s="61"/>
      <c r="I162" s="65" t="s">
        <v>107</v>
      </c>
      <c r="J162" s="61"/>
      <c r="K162" s="65" t="s">
        <v>107</v>
      </c>
      <c r="L162" s="61"/>
      <c r="M162" s="65" t="s">
        <v>107</v>
      </c>
      <c r="N162" s="65" t="s">
        <v>105</v>
      </c>
      <c r="O162" s="65" t="s">
        <v>105</v>
      </c>
      <c r="Q162" s="12"/>
      <c r="R162" s="108"/>
      <c r="S162" s="115"/>
      <c r="T162" s="65" t="s">
        <v>14</v>
      </c>
      <c r="U162" s="61"/>
      <c r="V162" s="65" t="s">
        <v>105</v>
      </c>
      <c r="W162" s="61"/>
      <c r="X162" s="65" t="s">
        <v>105</v>
      </c>
      <c r="Y162" s="61"/>
      <c r="Z162" s="65" t="s">
        <v>107</v>
      </c>
      <c r="AA162" s="61"/>
      <c r="AB162" s="65" t="s">
        <v>107</v>
      </c>
      <c r="AC162" s="61"/>
      <c r="AD162" s="65" t="s">
        <v>105</v>
      </c>
      <c r="AE162" s="65" t="s">
        <v>105</v>
      </c>
      <c r="AF162" s="65" t="s">
        <v>105</v>
      </c>
    </row>
    <row r="163" spans="1:32" ht="15" customHeight="1" thickBot="1">
      <c r="A163" s="108"/>
      <c r="B163" s="113" t="s">
        <v>60</v>
      </c>
      <c r="C163" s="33" t="s">
        <v>13</v>
      </c>
      <c r="D163" s="61"/>
      <c r="E163" s="65">
        <v>0.47094217984895737</v>
      </c>
      <c r="F163" s="61"/>
      <c r="G163" s="65">
        <v>0.47094217984895737</v>
      </c>
      <c r="H163" s="61"/>
      <c r="I163" s="65">
        <v>7.6550988245492058E-2</v>
      </c>
      <c r="J163" s="61"/>
      <c r="K163" s="65">
        <v>7.6550988245492058E-2</v>
      </c>
      <c r="L163" s="61"/>
      <c r="M163" s="65">
        <v>2.5751301386845515E-2</v>
      </c>
      <c r="N163" s="65">
        <v>0.5016677737700026</v>
      </c>
      <c r="O163" s="65">
        <v>0.80698112464246252</v>
      </c>
      <c r="Q163" s="12"/>
      <c r="R163" s="108"/>
      <c r="S163" s="114" t="s">
        <v>60</v>
      </c>
      <c r="T163" s="65" t="s">
        <v>13</v>
      </c>
      <c r="U163" s="61"/>
      <c r="V163" s="65">
        <v>0.85654161215821778</v>
      </c>
      <c r="W163" s="61"/>
      <c r="X163" s="65">
        <v>0.70850441523668839</v>
      </c>
      <c r="Y163" s="61"/>
      <c r="Z163" s="65">
        <v>0.41360013537468077</v>
      </c>
      <c r="AA163" s="61"/>
      <c r="AB163" s="65">
        <v>0.34083000615402403</v>
      </c>
      <c r="AC163" s="61"/>
      <c r="AD163" s="65">
        <v>0.90909904177502476</v>
      </c>
      <c r="AE163" s="49">
        <v>0.13780949104349624</v>
      </c>
      <c r="AF163" s="65">
        <v>0.58585838369363052</v>
      </c>
    </row>
    <row r="164" spans="1:32" ht="15" customHeight="1" thickBot="1">
      <c r="A164" s="109"/>
      <c r="B164" s="113"/>
      <c r="C164" s="33" t="s">
        <v>14</v>
      </c>
      <c r="D164" s="61"/>
      <c r="E164" s="62">
        <v>0.16459708067251577</v>
      </c>
      <c r="F164" s="61"/>
      <c r="G164" s="65">
        <v>0.16459708067251577</v>
      </c>
      <c r="H164" s="61"/>
      <c r="I164" s="65">
        <v>5.5066507150765987E-3</v>
      </c>
      <c r="J164" s="61"/>
      <c r="K164" s="65">
        <v>5.5066507150765987E-3</v>
      </c>
      <c r="L164" s="61"/>
      <c r="M164" s="65">
        <v>1.8703635274809935E-2</v>
      </c>
      <c r="N164" s="65">
        <v>0.50683781192094912</v>
      </c>
      <c r="O164" s="65">
        <v>0.92270296741047686</v>
      </c>
      <c r="Q164" s="12"/>
      <c r="R164" s="109"/>
      <c r="S164" s="115"/>
      <c r="T164" s="65" t="s">
        <v>14</v>
      </c>
      <c r="U164" s="61"/>
      <c r="V164" s="65">
        <v>0.53502119438973406</v>
      </c>
      <c r="W164" s="61"/>
      <c r="X164" s="65">
        <v>0.26587878603833126</v>
      </c>
      <c r="Y164" s="61"/>
      <c r="Z164" s="62">
        <v>0.1349107389663482</v>
      </c>
      <c r="AA164" s="61"/>
      <c r="AB164" s="65">
        <v>7.7040447669716919E-2</v>
      </c>
      <c r="AC164" s="61"/>
      <c r="AD164" s="65">
        <v>0.28605775288778768</v>
      </c>
      <c r="AE164" s="65">
        <v>0.23188615251864297</v>
      </c>
      <c r="AF164" s="65">
        <v>0.6629231619751168</v>
      </c>
    </row>
    <row r="165" spans="1:32" s="13" customFormat="1">
      <c r="A165" s="6"/>
      <c r="B165" s="72"/>
      <c r="C165" s="2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Q165" s="14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</row>
    <row r="166" spans="1:32" s="4" customFormat="1" ht="14.25" thickBot="1">
      <c r="A166" s="5"/>
      <c r="B166" s="50"/>
      <c r="C166" s="21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Q166" s="12"/>
      <c r="S166" s="50"/>
      <c r="T166" s="50"/>
      <c r="U166" s="50"/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50"/>
    </row>
    <row r="167" spans="1:32" ht="19.5" thickBot="1">
      <c r="A167" s="99" t="s">
        <v>26</v>
      </c>
      <c r="B167" s="100"/>
      <c r="C167" s="101"/>
      <c r="D167" s="102" t="s">
        <v>23</v>
      </c>
      <c r="E167" s="103"/>
      <c r="F167" s="103"/>
      <c r="G167" s="104"/>
      <c r="H167" s="105" t="s">
        <v>24</v>
      </c>
      <c r="I167" s="103"/>
      <c r="J167" s="103"/>
      <c r="K167" s="104"/>
      <c r="L167" s="105" t="s">
        <v>25</v>
      </c>
      <c r="M167" s="103"/>
      <c r="N167" s="103"/>
      <c r="O167" s="106"/>
      <c r="Q167" s="12"/>
      <c r="R167" s="99" t="s">
        <v>26</v>
      </c>
      <c r="S167" s="100"/>
      <c r="T167" s="101"/>
      <c r="U167" s="102" t="s">
        <v>23</v>
      </c>
      <c r="V167" s="103"/>
      <c r="W167" s="103"/>
      <c r="X167" s="104"/>
      <c r="Y167" s="102" t="s">
        <v>24</v>
      </c>
      <c r="Z167" s="103"/>
      <c r="AA167" s="103"/>
      <c r="AB167" s="104"/>
      <c r="AC167" s="102" t="s">
        <v>25</v>
      </c>
      <c r="AD167" s="103"/>
      <c r="AE167" s="103"/>
      <c r="AF167" s="104"/>
    </row>
    <row r="168" spans="1:32" ht="15.75" thickBot="1">
      <c r="A168" s="7" t="s">
        <v>6</v>
      </c>
      <c r="B168" s="76" t="s">
        <v>7</v>
      </c>
      <c r="C168" s="8" t="s">
        <v>8</v>
      </c>
      <c r="D168" s="55" t="s">
        <v>9</v>
      </c>
      <c r="E168" s="55" t="s">
        <v>10</v>
      </c>
      <c r="F168" s="55" t="s">
        <v>11</v>
      </c>
      <c r="G168" s="55" t="s">
        <v>12</v>
      </c>
      <c r="H168" s="55" t="s">
        <v>9</v>
      </c>
      <c r="I168" s="55" t="s">
        <v>10</v>
      </c>
      <c r="J168" s="55" t="s">
        <v>11</v>
      </c>
      <c r="K168" s="55" t="s">
        <v>12</v>
      </c>
      <c r="L168" s="55" t="s">
        <v>9</v>
      </c>
      <c r="M168" s="55" t="s">
        <v>10</v>
      </c>
      <c r="N168" s="55" t="s">
        <v>11</v>
      </c>
      <c r="O168" s="55" t="s">
        <v>12</v>
      </c>
      <c r="Q168" s="12"/>
      <c r="R168" s="7" t="s">
        <v>6</v>
      </c>
      <c r="S168" s="76" t="s">
        <v>7</v>
      </c>
      <c r="T168" s="76" t="s">
        <v>8</v>
      </c>
      <c r="U168" s="55" t="s">
        <v>9</v>
      </c>
      <c r="V168" s="55" t="s">
        <v>10</v>
      </c>
      <c r="W168" s="55" t="s">
        <v>11</v>
      </c>
      <c r="X168" s="55" t="s">
        <v>12</v>
      </c>
      <c r="Y168" s="55" t="s">
        <v>9</v>
      </c>
      <c r="Z168" s="55" t="s">
        <v>10</v>
      </c>
      <c r="AA168" s="55" t="s">
        <v>11</v>
      </c>
      <c r="AB168" s="55" t="s">
        <v>12</v>
      </c>
      <c r="AC168" s="55" t="s">
        <v>9</v>
      </c>
      <c r="AD168" s="55" t="s">
        <v>10</v>
      </c>
      <c r="AE168" s="55" t="s">
        <v>11</v>
      </c>
      <c r="AF168" s="55" t="s">
        <v>12</v>
      </c>
    </row>
    <row r="169" spans="1:32" ht="15.75" thickBot="1">
      <c r="A169" s="107" t="s">
        <v>2</v>
      </c>
      <c r="B169" s="107" t="s">
        <v>51</v>
      </c>
      <c r="C169" s="9" t="s">
        <v>13</v>
      </c>
      <c r="D169" s="56">
        <v>3112204.5380595326</v>
      </c>
      <c r="E169" s="56">
        <v>83832.898470231041</v>
      </c>
      <c r="F169" s="56">
        <v>2830050.2490851358</v>
      </c>
      <c r="G169" s="56">
        <v>6976576.1331849992</v>
      </c>
      <c r="H169" s="56">
        <v>9547659.7969177067</v>
      </c>
      <c r="I169" s="56">
        <v>14288973.79560367</v>
      </c>
      <c r="J169" s="56">
        <v>3058977.6462043673</v>
      </c>
      <c r="K169" s="56">
        <v>41191203.493507326</v>
      </c>
      <c r="L169" s="56">
        <v>-2166731.917192325</v>
      </c>
      <c r="M169" s="56">
        <v>7921233.7343540043</v>
      </c>
      <c r="N169" s="56">
        <v>-687481.28943292797</v>
      </c>
      <c r="O169" s="56">
        <v>4544736.5475766659</v>
      </c>
      <c r="Q169" s="12"/>
      <c r="R169" s="107" t="s">
        <v>2</v>
      </c>
      <c r="S169" s="107" t="s">
        <v>51</v>
      </c>
      <c r="T169" s="58" t="s">
        <v>13</v>
      </c>
      <c r="U169" s="77">
        <v>4.6080677451448004E-3</v>
      </c>
      <c r="V169" s="77">
        <v>3.8839632551079697E-4</v>
      </c>
      <c r="W169" s="77">
        <v>5.2044245126516009E-3</v>
      </c>
      <c r="X169" s="77">
        <v>4.3619313162080384E-3</v>
      </c>
      <c r="Y169" s="77">
        <v>-5.5945513573227301E-5</v>
      </c>
      <c r="Z169" s="77">
        <v>-7.7384418293686696E-3</v>
      </c>
      <c r="AA169" s="77">
        <v>4.861623762876674E-3</v>
      </c>
      <c r="AB169" s="77">
        <v>1.3608455541470055E-3</v>
      </c>
      <c r="AC169" s="77">
        <v>-4.9011635603674469E-3</v>
      </c>
      <c r="AD169" s="77">
        <v>-3.4466483116853408E-3</v>
      </c>
      <c r="AE169" s="77">
        <v>-7.1988688204376594E-3</v>
      </c>
      <c r="AF169" s="77">
        <v>-2.9012902312003097E-3</v>
      </c>
    </row>
    <row r="170" spans="1:32" ht="15.75" thickBot="1">
      <c r="A170" s="108"/>
      <c r="B170" s="109"/>
      <c r="C170" s="9" t="s">
        <v>14</v>
      </c>
      <c r="D170" s="56">
        <v>5363586.1522493958</v>
      </c>
      <c r="E170" s="56">
        <v>103262.93626141566</v>
      </c>
      <c r="F170" s="56">
        <v>4877932.3401893675</v>
      </c>
      <c r="G170" s="56">
        <v>11313320.383259013</v>
      </c>
      <c r="H170" s="56">
        <v>8593072.1786410213</v>
      </c>
      <c r="I170" s="56">
        <v>15019543.331914961</v>
      </c>
      <c r="J170" s="56">
        <v>1451957.381475687</v>
      </c>
      <c r="K170" s="56">
        <v>42123088.210805863</v>
      </c>
      <c r="L170" s="56">
        <v>-4988561.5981293321</v>
      </c>
      <c r="M170" s="56">
        <v>10064973.908861384</v>
      </c>
      <c r="N170" s="56">
        <v>-2129196.5591651648</v>
      </c>
      <c r="O170" s="56">
        <v>1991677.5255064964</v>
      </c>
      <c r="Q170" s="12"/>
      <c r="R170" s="108"/>
      <c r="S170" s="109"/>
      <c r="T170" s="58" t="s">
        <v>14</v>
      </c>
      <c r="U170" s="77">
        <v>6.6075780395929359E-3</v>
      </c>
      <c r="V170" s="77">
        <v>4.7534306902142359E-4</v>
      </c>
      <c r="W170" s="77">
        <v>7.3706104550690724E-3</v>
      </c>
      <c r="X170" s="77">
        <v>6.2126663877161009E-3</v>
      </c>
      <c r="Y170" s="77">
        <v>-2.6200955223099065E-4</v>
      </c>
      <c r="Z170" s="77">
        <v>-1.024388277352753E-2</v>
      </c>
      <c r="AA170" s="77">
        <v>5.0784069283524857E-3</v>
      </c>
      <c r="AB170" s="77">
        <v>1.0345495137381866E-3</v>
      </c>
      <c r="AC170" s="77">
        <v>-5.5900841925686506E-3</v>
      </c>
      <c r="AD170" s="77">
        <v>-4.2772892112469263E-4</v>
      </c>
      <c r="AE170" s="77">
        <v>-9.9408111445734859E-3</v>
      </c>
      <c r="AF170" s="77">
        <v>-3.0357513063344888E-3</v>
      </c>
    </row>
    <row r="171" spans="1:32" ht="15.75" thickBot="1">
      <c r="A171" s="108"/>
      <c r="B171" s="110" t="s">
        <v>15</v>
      </c>
      <c r="C171" s="9" t="s">
        <v>13</v>
      </c>
      <c r="D171" s="57">
        <v>8.2848383120572078E-2</v>
      </c>
      <c r="E171" s="57">
        <v>0.23325792562668626</v>
      </c>
      <c r="F171" s="57">
        <v>7.8107426690769505E-2</v>
      </c>
      <c r="G171" s="57">
        <v>9.4078134732240748E-2</v>
      </c>
      <c r="H171" s="57">
        <v>8.7148934538178499E-2</v>
      </c>
      <c r="I171" s="57">
        <v>0.22412928062672349</v>
      </c>
      <c r="J171" s="57">
        <v>3.3771734668048885E-2</v>
      </c>
      <c r="K171" s="57">
        <v>0.15609411158380307</v>
      </c>
      <c r="L171" s="57">
        <v>-1.7105164218228185E-2</v>
      </c>
      <c r="M171" s="57">
        <v>8.2231522513643476E-2</v>
      </c>
      <c r="N171" s="57">
        <v>-7.6975326219068897E-3</v>
      </c>
      <c r="O171" s="57">
        <v>1.4551932318466536E-2</v>
      </c>
      <c r="Q171" s="12"/>
      <c r="R171" s="108"/>
      <c r="S171" s="110" t="s">
        <v>15</v>
      </c>
      <c r="T171" s="58" t="s">
        <v>13</v>
      </c>
      <c r="U171" s="57">
        <v>9.5095935747502594E-2</v>
      </c>
      <c r="V171" s="57">
        <v>0.20225229962495986</v>
      </c>
      <c r="W171" s="57">
        <v>7.874383298901183E-2</v>
      </c>
      <c r="X171" s="57">
        <v>8.8792073658629442E-2</v>
      </c>
      <c r="Y171" s="57">
        <v>-5.8501265255282741E-4</v>
      </c>
      <c r="Z171" s="57">
        <v>-3.3485136972756992E-2</v>
      </c>
      <c r="AA171" s="57">
        <v>4.2273019669816086E-2</v>
      </c>
      <c r="AB171" s="57">
        <v>1.1395790595227464E-2</v>
      </c>
      <c r="AC171" s="57">
        <v>-5.0418201894679639E-2</v>
      </c>
      <c r="AD171" s="57">
        <v>-1.0733776005616336E-2</v>
      </c>
      <c r="AE171" s="57">
        <v>-6.5495701356608496E-2</v>
      </c>
      <c r="AF171" s="57">
        <v>-2.2440491028679163E-2</v>
      </c>
    </row>
    <row r="172" spans="1:32" ht="15.75" thickBot="1">
      <c r="A172" s="108"/>
      <c r="B172" s="111"/>
      <c r="C172" s="9" t="s">
        <v>14</v>
      </c>
      <c r="D172" s="57">
        <v>0.13082246521508589</v>
      </c>
      <c r="E172" s="57">
        <v>0.24891632219215537</v>
      </c>
      <c r="F172" s="57">
        <v>0.12501395274304614</v>
      </c>
      <c r="G172" s="57">
        <v>0.14065534487555995</v>
      </c>
      <c r="H172" s="57">
        <v>7.792047159290405E-2</v>
      </c>
      <c r="I172" s="57">
        <v>0.23247416056138534</v>
      </c>
      <c r="J172" s="57">
        <v>1.6045923574540901E-2</v>
      </c>
      <c r="K172" s="57">
        <v>0.15873042154765513</v>
      </c>
      <c r="L172" s="57">
        <v>-4.0180755063349935E-2</v>
      </c>
      <c r="M172" s="63">
        <v>0.10199555341668813</v>
      </c>
      <c r="N172" s="57">
        <v>-2.4291959421057791E-2</v>
      </c>
      <c r="O172" s="57">
        <v>6.4147553751120181E-3</v>
      </c>
      <c r="Q172" s="12"/>
      <c r="R172" s="108"/>
      <c r="S172" s="111"/>
      <c r="T172" s="58" t="s">
        <v>14</v>
      </c>
      <c r="U172" s="57">
        <v>0.12845623513526108</v>
      </c>
      <c r="V172" s="57">
        <v>0.21521851224057725</v>
      </c>
      <c r="W172" s="57">
        <v>0.10651610638995622</v>
      </c>
      <c r="X172" s="57">
        <v>0.11965037612777424</v>
      </c>
      <c r="Y172" s="57">
        <v>-2.6917949361003847E-3</v>
      </c>
      <c r="Z172" s="57">
        <v>-4.3483179603314846E-2</v>
      </c>
      <c r="AA172" s="57">
        <v>4.3969953104822476E-2</v>
      </c>
      <c r="AB172" s="57">
        <v>8.5404351369718513E-3</v>
      </c>
      <c r="AC172" s="57">
        <v>-5.7771530539481863E-2</v>
      </c>
      <c r="AD172" s="63">
        <v>-1.3052450283624138E-3</v>
      </c>
      <c r="AE172" s="57">
        <v>-9.2517710434650166E-2</v>
      </c>
      <c r="AF172" s="57">
        <v>-2.3448388939238E-2</v>
      </c>
    </row>
    <row r="173" spans="1:32" ht="15.75" thickBot="1">
      <c r="A173" s="108"/>
      <c r="B173" s="110" t="s">
        <v>16</v>
      </c>
      <c r="C173" s="9" t="s">
        <v>13</v>
      </c>
      <c r="D173" s="58" t="s">
        <v>104</v>
      </c>
      <c r="E173" s="58" t="s">
        <v>104</v>
      </c>
      <c r="F173" s="58" t="s">
        <v>104</v>
      </c>
      <c r="G173" s="58" t="s">
        <v>104</v>
      </c>
      <c r="H173" s="58" t="s">
        <v>104</v>
      </c>
      <c r="I173" s="58" t="s">
        <v>104</v>
      </c>
      <c r="J173" s="58" t="s">
        <v>104</v>
      </c>
      <c r="K173" s="58" t="s">
        <v>104</v>
      </c>
      <c r="L173" s="58" t="s">
        <v>103</v>
      </c>
      <c r="M173" s="58" t="s">
        <v>104</v>
      </c>
      <c r="N173" s="58" t="s">
        <v>103</v>
      </c>
      <c r="O173" s="58" t="s">
        <v>104</v>
      </c>
      <c r="Q173" s="12"/>
      <c r="R173" s="108"/>
      <c r="S173" s="110" t="s">
        <v>16</v>
      </c>
      <c r="T173" s="58" t="s">
        <v>13</v>
      </c>
      <c r="U173" s="58" t="s">
        <v>104</v>
      </c>
      <c r="V173" s="58" t="s">
        <v>104</v>
      </c>
      <c r="W173" s="58" t="s">
        <v>104</v>
      </c>
      <c r="X173" s="58" t="s">
        <v>104</v>
      </c>
      <c r="Y173" s="58" t="s">
        <v>103</v>
      </c>
      <c r="Z173" s="58" t="s">
        <v>103</v>
      </c>
      <c r="AA173" s="58" t="s">
        <v>104</v>
      </c>
      <c r="AB173" s="58" t="s">
        <v>104</v>
      </c>
      <c r="AC173" s="58" t="s">
        <v>103</v>
      </c>
      <c r="AD173" s="58" t="s">
        <v>103</v>
      </c>
      <c r="AE173" s="58" t="s">
        <v>103</v>
      </c>
      <c r="AF173" s="58" t="s">
        <v>103</v>
      </c>
    </row>
    <row r="174" spans="1:32" ht="15.75" thickBot="1">
      <c r="A174" s="108"/>
      <c r="B174" s="111"/>
      <c r="C174" s="9" t="s">
        <v>14</v>
      </c>
      <c r="D174" s="58" t="s">
        <v>104</v>
      </c>
      <c r="E174" s="58" t="s">
        <v>104</v>
      </c>
      <c r="F174" s="58" t="s">
        <v>104</v>
      </c>
      <c r="G174" s="58" t="s">
        <v>104</v>
      </c>
      <c r="H174" s="58" t="s">
        <v>104</v>
      </c>
      <c r="I174" s="58" t="s">
        <v>104</v>
      </c>
      <c r="J174" s="58" t="s">
        <v>104</v>
      </c>
      <c r="K174" s="58" t="s">
        <v>104</v>
      </c>
      <c r="L174" s="58" t="s">
        <v>103</v>
      </c>
      <c r="M174" s="58" t="s">
        <v>104</v>
      </c>
      <c r="N174" s="58" t="s">
        <v>103</v>
      </c>
      <c r="O174" s="58" t="s">
        <v>104</v>
      </c>
      <c r="Q174" s="12"/>
      <c r="R174" s="108"/>
      <c r="S174" s="111"/>
      <c r="T174" s="58" t="s">
        <v>14</v>
      </c>
      <c r="U174" s="58" t="s">
        <v>104</v>
      </c>
      <c r="V174" s="58" t="s">
        <v>104</v>
      </c>
      <c r="W174" s="58" t="s">
        <v>104</v>
      </c>
      <c r="X174" s="58" t="s">
        <v>104</v>
      </c>
      <c r="Y174" s="58" t="s">
        <v>103</v>
      </c>
      <c r="Z174" s="58" t="s">
        <v>103</v>
      </c>
      <c r="AA174" s="58" t="s">
        <v>104</v>
      </c>
      <c r="AB174" s="58" t="s">
        <v>104</v>
      </c>
      <c r="AC174" s="58" t="s">
        <v>103</v>
      </c>
      <c r="AD174" s="58" t="s">
        <v>103</v>
      </c>
      <c r="AE174" s="58" t="s">
        <v>103</v>
      </c>
      <c r="AF174" s="58" t="s">
        <v>103</v>
      </c>
    </row>
    <row r="175" spans="1:32" ht="15.75" customHeight="1" thickBot="1">
      <c r="A175" s="108"/>
      <c r="B175" s="112" t="s">
        <v>63</v>
      </c>
      <c r="C175" s="16" t="s">
        <v>13</v>
      </c>
      <c r="D175" s="64" t="s">
        <v>105</v>
      </c>
      <c r="E175" s="64" t="s">
        <v>105</v>
      </c>
      <c r="F175" s="64" t="s">
        <v>105</v>
      </c>
      <c r="G175" s="64" t="s">
        <v>105</v>
      </c>
      <c r="H175" s="64" t="s">
        <v>107</v>
      </c>
      <c r="I175" s="64" t="s">
        <v>107</v>
      </c>
      <c r="J175" s="64" t="s">
        <v>105</v>
      </c>
      <c r="K175" s="64" t="s">
        <v>107</v>
      </c>
      <c r="L175" s="64" t="s">
        <v>107</v>
      </c>
      <c r="M175" s="64" t="s">
        <v>107</v>
      </c>
      <c r="N175" s="64" t="s">
        <v>105</v>
      </c>
      <c r="O175" s="64" t="s">
        <v>105</v>
      </c>
      <c r="Q175" s="12"/>
      <c r="R175" s="108"/>
      <c r="S175" s="112" t="s">
        <v>63</v>
      </c>
      <c r="T175" s="64" t="s">
        <v>13</v>
      </c>
      <c r="U175" s="64" t="s">
        <v>107</v>
      </c>
      <c r="V175" s="64" t="s">
        <v>105</v>
      </c>
      <c r="W175" s="64" t="s">
        <v>107</v>
      </c>
      <c r="X175" s="64" t="s">
        <v>107</v>
      </c>
      <c r="Y175" s="64" t="s">
        <v>105</v>
      </c>
      <c r="Z175" s="64" t="s">
        <v>107</v>
      </c>
      <c r="AA175" s="64" t="s">
        <v>107</v>
      </c>
      <c r="AB175" s="64" t="s">
        <v>107</v>
      </c>
      <c r="AC175" s="64" t="s">
        <v>107</v>
      </c>
      <c r="AD175" s="64" t="s">
        <v>105</v>
      </c>
      <c r="AE175" s="64" t="s">
        <v>107</v>
      </c>
      <c r="AF175" s="64" t="s">
        <v>107</v>
      </c>
    </row>
    <row r="176" spans="1:32" ht="15.75" thickBot="1">
      <c r="A176" s="108"/>
      <c r="B176" s="112"/>
      <c r="C176" s="16" t="s">
        <v>14</v>
      </c>
      <c r="D176" s="64" t="s">
        <v>107</v>
      </c>
      <c r="E176" s="64" t="s">
        <v>107</v>
      </c>
      <c r="F176" s="64" t="s">
        <v>107</v>
      </c>
      <c r="G176" s="64" t="s">
        <v>107</v>
      </c>
      <c r="H176" s="64" t="s">
        <v>107</v>
      </c>
      <c r="I176" s="64" t="s">
        <v>107</v>
      </c>
      <c r="J176" s="64" t="s">
        <v>105</v>
      </c>
      <c r="K176" s="64" t="s">
        <v>107</v>
      </c>
      <c r="L176" s="64" t="s">
        <v>107</v>
      </c>
      <c r="M176" s="64" t="s">
        <v>107</v>
      </c>
      <c r="N176" s="64" t="s">
        <v>105</v>
      </c>
      <c r="O176" s="64" t="s">
        <v>105</v>
      </c>
      <c r="Q176" s="12"/>
      <c r="R176" s="108"/>
      <c r="S176" s="112"/>
      <c r="T176" s="64" t="s">
        <v>14</v>
      </c>
      <c r="U176" s="64" t="s">
        <v>107</v>
      </c>
      <c r="V176" s="64" t="s">
        <v>107</v>
      </c>
      <c r="W176" s="64" t="s">
        <v>107</v>
      </c>
      <c r="X176" s="64" t="s">
        <v>107</v>
      </c>
      <c r="Y176" s="64" t="s">
        <v>105</v>
      </c>
      <c r="Z176" s="64" t="s">
        <v>107</v>
      </c>
      <c r="AA176" s="64" t="s">
        <v>107</v>
      </c>
      <c r="AB176" s="64" t="s">
        <v>105</v>
      </c>
      <c r="AC176" s="64" t="s">
        <v>107</v>
      </c>
      <c r="AD176" s="64" t="s">
        <v>105</v>
      </c>
      <c r="AE176" s="64" t="s">
        <v>107</v>
      </c>
      <c r="AF176" s="64" t="s">
        <v>107</v>
      </c>
    </row>
    <row r="177" spans="1:32" ht="15" customHeight="1" thickBot="1">
      <c r="A177" s="108"/>
      <c r="B177" s="112" t="s">
        <v>60</v>
      </c>
      <c r="C177" s="16" t="s">
        <v>13</v>
      </c>
      <c r="D177" s="64">
        <v>0.27798195963364858</v>
      </c>
      <c r="E177" s="64">
        <v>0.39982900283008038</v>
      </c>
      <c r="F177" s="64">
        <v>0.51807073013094684</v>
      </c>
      <c r="G177" s="64">
        <v>0.28350387910244068</v>
      </c>
      <c r="H177" s="64">
        <v>1.4745049432759673E-2</v>
      </c>
      <c r="I177" s="64">
        <v>9.2689664167597031E-3</v>
      </c>
      <c r="J177" s="64">
        <v>0.68087597671813804</v>
      </c>
      <c r="K177" s="64">
        <v>1.600411711183088E-2</v>
      </c>
      <c r="L177" s="64">
        <v>6.6812510965924013E-2</v>
      </c>
      <c r="M177" s="64">
        <v>1.8555975806340736E-2</v>
      </c>
      <c r="N177" s="64">
        <v>0.95267123550092458</v>
      </c>
      <c r="O177" s="64">
        <v>0.37897935575469488</v>
      </c>
      <c r="Q177" s="12"/>
      <c r="R177" s="108"/>
      <c r="S177" s="112" t="s">
        <v>60</v>
      </c>
      <c r="T177" s="64" t="s">
        <v>13</v>
      </c>
      <c r="U177" s="64">
        <v>3.8527793158541622E-2</v>
      </c>
      <c r="V177" s="64">
        <v>0.3944309883114695</v>
      </c>
      <c r="W177" s="64">
        <v>3.7983817889126199E-2</v>
      </c>
      <c r="X177" s="64">
        <v>3.0887824456831255E-2</v>
      </c>
      <c r="Y177" s="64">
        <v>0.96618516941528265</v>
      </c>
      <c r="Z177" s="64">
        <v>0.22371414612428744</v>
      </c>
      <c r="AA177" s="64">
        <v>5.2013602764238896E-4</v>
      </c>
      <c r="AB177" s="64">
        <v>0.22897418761824898</v>
      </c>
      <c r="AC177" s="64">
        <v>2.6602007707896185E-3</v>
      </c>
      <c r="AD177" s="64">
        <v>0.58437737112214894</v>
      </c>
      <c r="AE177" s="64">
        <v>1.052330737166584E-2</v>
      </c>
      <c r="AF177" s="64">
        <v>4.7046833882909922E-2</v>
      </c>
    </row>
    <row r="178" spans="1:32" ht="15" customHeight="1" thickBot="1">
      <c r="A178" s="109"/>
      <c r="B178" s="112"/>
      <c r="C178" s="16" t="s">
        <v>14</v>
      </c>
      <c r="D178" s="64">
        <v>2.1975068010566468E-2</v>
      </c>
      <c r="E178" s="64">
        <v>7.2103199392340667E-2</v>
      </c>
      <c r="F178" s="62">
        <v>0.11185001042281598</v>
      </c>
      <c r="G178" s="64">
        <v>2.1835602302851996E-2</v>
      </c>
      <c r="H178" s="64">
        <v>3.3844805105913436E-3</v>
      </c>
      <c r="I178" s="64">
        <v>2.1847257867901811E-6</v>
      </c>
      <c r="J178" s="64">
        <v>0.76100811981976801</v>
      </c>
      <c r="K178" s="64">
        <v>1.0280679999571336E-4</v>
      </c>
      <c r="L178" s="64">
        <v>9.2355896167586896E-2</v>
      </c>
      <c r="M178" s="64">
        <v>1.6520534299588469E-3</v>
      </c>
      <c r="N178" s="64">
        <v>0.76818368876972798</v>
      </c>
      <c r="O178" s="64">
        <v>0.65246561807550663</v>
      </c>
      <c r="Q178" s="12"/>
      <c r="R178" s="109"/>
      <c r="S178" s="112"/>
      <c r="T178" s="64" t="s">
        <v>14</v>
      </c>
      <c r="U178" s="64">
        <v>2.068397123666417E-3</v>
      </c>
      <c r="V178" s="64">
        <v>8.7699530452240909E-2</v>
      </c>
      <c r="W178" s="64">
        <v>1.718413703550848E-3</v>
      </c>
      <c r="X178" s="64">
        <v>1.8211753403498641E-3</v>
      </c>
      <c r="Y178" s="64">
        <v>0.84874858477857351</v>
      </c>
      <c r="Z178" s="64">
        <v>5.5906468361830428E-2</v>
      </c>
      <c r="AA178" s="64">
        <v>9.9898754364306732E-7</v>
      </c>
      <c r="AB178" s="64">
        <v>0.44815110909508959</v>
      </c>
      <c r="AC178" s="64">
        <v>1.613738914870724E-7</v>
      </c>
      <c r="AD178" s="64">
        <v>0.95458011384402974</v>
      </c>
      <c r="AE178" s="64">
        <v>5.7455995800454056E-5</v>
      </c>
      <c r="AF178" s="64">
        <v>1.3006952880627021E-2</v>
      </c>
    </row>
    <row r="179" spans="1:32" ht="15">
      <c r="A179" s="25"/>
      <c r="B179" s="23"/>
      <c r="C179" s="27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Q179" s="12"/>
      <c r="R179" s="25"/>
      <c r="S179" s="23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</row>
    <row r="180" spans="1:32" ht="14.25" thickBot="1">
      <c r="A180" s="5"/>
      <c r="Q180" s="12"/>
    </row>
    <row r="181" spans="1:32" ht="19.5" thickBot="1">
      <c r="A181" s="99" t="s">
        <v>26</v>
      </c>
      <c r="B181" s="100"/>
      <c r="C181" s="101"/>
      <c r="D181" s="102" t="s">
        <v>43</v>
      </c>
      <c r="E181" s="103"/>
      <c r="F181" s="103"/>
      <c r="G181" s="104"/>
      <c r="H181" s="105" t="s">
        <v>44</v>
      </c>
      <c r="I181" s="103"/>
      <c r="J181" s="103"/>
      <c r="K181" s="104"/>
      <c r="L181" s="105" t="s">
        <v>52</v>
      </c>
      <c r="M181" s="103"/>
      <c r="N181" s="103"/>
      <c r="O181" s="106"/>
      <c r="Q181" s="12"/>
      <c r="R181" s="99" t="s">
        <v>26</v>
      </c>
      <c r="S181" s="100"/>
      <c r="T181" s="101"/>
      <c r="U181" s="102" t="s">
        <v>43</v>
      </c>
      <c r="V181" s="103"/>
      <c r="W181" s="103"/>
      <c r="X181" s="104"/>
      <c r="Y181" s="105" t="s">
        <v>44</v>
      </c>
      <c r="Z181" s="103"/>
      <c r="AA181" s="103"/>
      <c r="AB181" s="104"/>
      <c r="AC181" s="105" t="s">
        <v>52</v>
      </c>
      <c r="AD181" s="103"/>
      <c r="AE181" s="103"/>
      <c r="AF181" s="106"/>
    </row>
    <row r="182" spans="1:32" ht="15.75" thickBot="1">
      <c r="A182" s="7" t="s">
        <v>6</v>
      </c>
      <c r="B182" s="76" t="s">
        <v>7</v>
      </c>
      <c r="C182" s="8" t="s">
        <v>8</v>
      </c>
      <c r="D182" s="55" t="s">
        <v>9</v>
      </c>
      <c r="E182" s="55" t="s">
        <v>10</v>
      </c>
      <c r="F182" s="55" t="s">
        <v>11</v>
      </c>
      <c r="G182" s="55" t="s">
        <v>12</v>
      </c>
      <c r="H182" s="55" t="s">
        <v>9</v>
      </c>
      <c r="I182" s="55" t="s">
        <v>10</v>
      </c>
      <c r="J182" s="55" t="s">
        <v>11</v>
      </c>
      <c r="K182" s="55" t="s">
        <v>12</v>
      </c>
      <c r="L182" s="55" t="s">
        <v>9</v>
      </c>
      <c r="M182" s="55" t="s">
        <v>10</v>
      </c>
      <c r="N182" s="55" t="s">
        <v>11</v>
      </c>
      <c r="O182" s="55" t="s">
        <v>12</v>
      </c>
      <c r="Q182" s="12"/>
      <c r="R182" s="7" t="s">
        <v>6</v>
      </c>
      <c r="S182" s="76" t="s">
        <v>7</v>
      </c>
      <c r="T182" s="76" t="s">
        <v>8</v>
      </c>
      <c r="U182" s="55" t="s">
        <v>9</v>
      </c>
      <c r="V182" s="55" t="s">
        <v>10</v>
      </c>
      <c r="W182" s="55" t="s">
        <v>11</v>
      </c>
      <c r="X182" s="55" t="s">
        <v>12</v>
      </c>
      <c r="Y182" s="55" t="s">
        <v>9</v>
      </c>
      <c r="Z182" s="55" t="s">
        <v>10</v>
      </c>
      <c r="AA182" s="55" t="s">
        <v>11</v>
      </c>
      <c r="AB182" s="55" t="s">
        <v>12</v>
      </c>
      <c r="AC182" s="55" t="s">
        <v>9</v>
      </c>
      <c r="AD182" s="55" t="s">
        <v>10</v>
      </c>
      <c r="AE182" s="55" t="s">
        <v>11</v>
      </c>
      <c r="AF182" s="55" t="s">
        <v>12</v>
      </c>
    </row>
    <row r="183" spans="1:32" ht="15.75" thickBot="1">
      <c r="A183" s="107" t="s">
        <v>42</v>
      </c>
      <c r="B183" s="107" t="s">
        <v>51</v>
      </c>
      <c r="C183" s="9" t="s">
        <v>13</v>
      </c>
      <c r="D183" s="56">
        <v>114599.30054457998</v>
      </c>
      <c r="E183" s="56"/>
      <c r="F183" s="56">
        <v>-170323.70819441229</v>
      </c>
      <c r="G183" s="56">
        <v>-115645.36146030203</v>
      </c>
      <c r="H183" s="56">
        <v>44010.629834294319</v>
      </c>
      <c r="I183" s="56"/>
      <c r="J183" s="56">
        <v>-97177.019512489438</v>
      </c>
      <c r="K183" s="56">
        <v>-574647.29476061277</v>
      </c>
      <c r="L183" s="56"/>
      <c r="M183" s="56"/>
      <c r="N183" s="56"/>
      <c r="O183" s="56"/>
      <c r="Q183" s="12"/>
      <c r="R183" s="107" t="s">
        <v>42</v>
      </c>
      <c r="S183" s="107" t="s">
        <v>51</v>
      </c>
      <c r="T183" s="58" t="s">
        <v>13</v>
      </c>
      <c r="U183" s="77">
        <v>-2.9998231996706398E-4</v>
      </c>
      <c r="V183" s="56"/>
      <c r="W183" s="77">
        <v>-4.7582202160916312E-3</v>
      </c>
      <c r="X183" s="77">
        <v>-1.5446790857690344E-3</v>
      </c>
      <c r="Y183" s="77">
        <v>8.6052117866073155E-4</v>
      </c>
      <c r="Z183" s="56"/>
      <c r="AA183" s="77">
        <v>-3.2306123545828777E-3</v>
      </c>
      <c r="AB183" s="77">
        <v>-2.4838525557402749E-4</v>
      </c>
      <c r="AC183" s="56"/>
      <c r="AD183" s="56"/>
      <c r="AE183" s="56"/>
      <c r="AF183" s="56"/>
    </row>
    <row r="184" spans="1:32" ht="15.75" thickBot="1">
      <c r="A184" s="108"/>
      <c r="B184" s="109"/>
      <c r="C184" s="9" t="s">
        <v>14</v>
      </c>
      <c r="D184" s="56">
        <v>102992.71397506027</v>
      </c>
      <c r="E184" s="56"/>
      <c r="F184" s="56">
        <v>-450087.74618947506</v>
      </c>
      <c r="G184" s="56">
        <v>-419276.49561582692</v>
      </c>
      <c r="H184" s="56">
        <v>192796.07458139677</v>
      </c>
      <c r="I184" s="56"/>
      <c r="J184" s="56">
        <v>-96330.665998807177</v>
      </c>
      <c r="K184" s="56">
        <v>-620807.12053800747</v>
      </c>
      <c r="L184" s="56"/>
      <c r="M184" s="56"/>
      <c r="N184" s="56"/>
      <c r="O184" s="56"/>
      <c r="Q184" s="12"/>
      <c r="R184" s="108"/>
      <c r="S184" s="109"/>
      <c r="T184" s="58" t="s">
        <v>14</v>
      </c>
      <c r="U184" s="77">
        <v>-3.9512475265821717E-4</v>
      </c>
      <c r="V184" s="56"/>
      <c r="W184" s="77">
        <v>-4.4624385382896203E-3</v>
      </c>
      <c r="X184" s="77">
        <v>-1.8757215511790333E-3</v>
      </c>
      <c r="Y184" s="77">
        <v>6.0107929797338297E-4</v>
      </c>
      <c r="Z184" s="56"/>
      <c r="AA184" s="77">
        <v>-3.4224250414291724E-3</v>
      </c>
      <c r="AB184" s="77">
        <v>-5.8089341154041185E-4</v>
      </c>
      <c r="AC184" s="56"/>
      <c r="AD184" s="56"/>
      <c r="AE184" s="56"/>
      <c r="AF184" s="56"/>
    </row>
    <row r="185" spans="1:32" ht="15.75" thickBot="1">
      <c r="A185" s="108"/>
      <c r="B185" s="110" t="s">
        <v>15</v>
      </c>
      <c r="C185" s="9" t="s">
        <v>13</v>
      </c>
      <c r="D185" s="57">
        <v>2.9716560508726758E-2</v>
      </c>
      <c r="E185" s="56"/>
      <c r="F185" s="57">
        <v>-3.4845057203898945E-2</v>
      </c>
      <c r="G185" s="57">
        <v>-1.3225012258486841E-2</v>
      </c>
      <c r="H185" s="57">
        <v>9.918725125348261E-3</v>
      </c>
      <c r="I185" s="56"/>
      <c r="J185" s="57">
        <v>-1.9777646851697993E-2</v>
      </c>
      <c r="K185" s="57">
        <v>-6.1455640321871514E-2</v>
      </c>
      <c r="L185" s="56"/>
      <c r="M185" s="56"/>
      <c r="N185" s="56"/>
      <c r="O185" s="56"/>
      <c r="Q185" s="12"/>
      <c r="R185" s="108"/>
      <c r="S185" s="110" t="s">
        <v>15</v>
      </c>
      <c r="T185" s="58" t="s">
        <v>13</v>
      </c>
      <c r="U185" s="57">
        <v>-1.3534380918537281E-2</v>
      </c>
      <c r="V185" s="56"/>
      <c r="W185" s="57">
        <v>-0.10521465736378635</v>
      </c>
      <c r="X185" s="57">
        <v>-5.9354091188076601E-2</v>
      </c>
      <c r="Y185" s="57">
        <v>3.4605671675736575E-2</v>
      </c>
      <c r="Z185" s="56"/>
      <c r="AA185" s="57">
        <v>-6.702007793005918E-2</v>
      </c>
      <c r="AB185" s="57">
        <v>-8.8426464919926697E-3</v>
      </c>
      <c r="AC185" s="56"/>
      <c r="AD185" s="56"/>
      <c r="AE185" s="56"/>
      <c r="AF185" s="56"/>
    </row>
    <row r="186" spans="1:32" ht="15.75" thickBot="1">
      <c r="A186" s="108"/>
      <c r="B186" s="111"/>
      <c r="C186" s="9" t="s">
        <v>14</v>
      </c>
      <c r="D186" s="57">
        <v>2.5503665290748181E-2</v>
      </c>
      <c r="E186" s="56"/>
      <c r="F186" s="57">
        <v>-9.2335098657464948E-2</v>
      </c>
      <c r="G186" s="57">
        <v>-4.7041783753880399E-2</v>
      </c>
      <c r="H186" s="57">
        <v>4.24580763834577E-2</v>
      </c>
      <c r="I186" s="56"/>
      <c r="J186" s="57">
        <v>-1.956054416615129E-2</v>
      </c>
      <c r="K186" s="57">
        <v>-6.5585598802133577E-2</v>
      </c>
      <c r="L186" s="56"/>
      <c r="M186" s="56"/>
      <c r="N186" s="56"/>
      <c r="O186" s="56"/>
      <c r="Q186" s="12"/>
      <c r="R186" s="108"/>
      <c r="S186" s="111"/>
      <c r="T186" s="58" t="s">
        <v>14</v>
      </c>
      <c r="U186" s="57">
        <v>-1.7009960320871164E-2</v>
      </c>
      <c r="V186" s="56"/>
      <c r="W186" s="57">
        <v>-9.1326729952286287E-2</v>
      </c>
      <c r="X186" s="57">
        <v>-6.893246598913641E-2</v>
      </c>
      <c r="Y186" s="57">
        <v>2.4391761763951206E-2</v>
      </c>
      <c r="Z186" s="56"/>
      <c r="AA186" s="57">
        <v>-7.1105116876736416E-2</v>
      </c>
      <c r="AB186" s="57">
        <v>-2.0878085843066618E-2</v>
      </c>
      <c r="AC186" s="56"/>
      <c r="AD186" s="56"/>
      <c r="AE186" s="56"/>
      <c r="AF186" s="56"/>
    </row>
    <row r="187" spans="1:32" ht="15.75" thickBot="1">
      <c r="A187" s="108"/>
      <c r="B187" s="110" t="s">
        <v>16</v>
      </c>
      <c r="C187" s="9" t="s">
        <v>13</v>
      </c>
      <c r="D187" s="58" t="s">
        <v>104</v>
      </c>
      <c r="E187" s="56"/>
      <c r="F187" s="58" t="s">
        <v>103</v>
      </c>
      <c r="G187" s="58" t="s">
        <v>103</v>
      </c>
      <c r="H187" s="58" t="s">
        <v>104</v>
      </c>
      <c r="I187" s="56"/>
      <c r="J187" s="58" t="s">
        <v>103</v>
      </c>
      <c r="K187" s="58" t="s">
        <v>103</v>
      </c>
      <c r="L187" s="56"/>
      <c r="M187" s="56"/>
      <c r="N187" s="56"/>
      <c r="O187" s="56"/>
      <c r="Q187" s="12"/>
      <c r="R187" s="108"/>
      <c r="S187" s="110" t="s">
        <v>16</v>
      </c>
      <c r="T187" s="58" t="s">
        <v>13</v>
      </c>
      <c r="U187" s="58" t="s">
        <v>103</v>
      </c>
      <c r="V187" s="56"/>
      <c r="W187" s="58" t="s">
        <v>103</v>
      </c>
      <c r="X187" s="58" t="s">
        <v>103</v>
      </c>
      <c r="Y187" s="58" t="s">
        <v>104</v>
      </c>
      <c r="Z187" s="56"/>
      <c r="AA187" s="58" t="s">
        <v>103</v>
      </c>
      <c r="AB187" s="58" t="s">
        <v>103</v>
      </c>
      <c r="AC187" s="56"/>
      <c r="AD187" s="56"/>
      <c r="AE187" s="56"/>
      <c r="AF187" s="56"/>
    </row>
    <row r="188" spans="1:32" ht="15.75" thickBot="1">
      <c r="A188" s="108"/>
      <c r="B188" s="111"/>
      <c r="C188" s="9" t="s">
        <v>14</v>
      </c>
      <c r="D188" s="58" t="s">
        <v>104</v>
      </c>
      <c r="E188" s="56"/>
      <c r="F188" s="58" t="s">
        <v>103</v>
      </c>
      <c r="G188" s="58" t="s">
        <v>103</v>
      </c>
      <c r="H188" s="58" t="s">
        <v>104</v>
      </c>
      <c r="I188" s="56"/>
      <c r="J188" s="58" t="s">
        <v>103</v>
      </c>
      <c r="K188" s="58" t="s">
        <v>103</v>
      </c>
      <c r="L188" s="56"/>
      <c r="M188" s="56"/>
      <c r="N188" s="56"/>
      <c r="O188" s="56"/>
      <c r="Q188" s="12"/>
      <c r="R188" s="108"/>
      <c r="S188" s="111"/>
      <c r="T188" s="58" t="s">
        <v>14</v>
      </c>
      <c r="U188" s="58" t="s">
        <v>103</v>
      </c>
      <c r="V188" s="56"/>
      <c r="W188" s="58" t="s">
        <v>103</v>
      </c>
      <c r="X188" s="58" t="s">
        <v>103</v>
      </c>
      <c r="Y188" s="58" t="s">
        <v>104</v>
      </c>
      <c r="Z188" s="56"/>
      <c r="AA188" s="58" t="s">
        <v>103</v>
      </c>
      <c r="AB188" s="58" t="s">
        <v>103</v>
      </c>
      <c r="AC188" s="56"/>
      <c r="AD188" s="56"/>
      <c r="AE188" s="56"/>
      <c r="AF188" s="56"/>
    </row>
    <row r="189" spans="1:32" ht="15.75" customHeight="1" thickBot="1">
      <c r="A189" s="108"/>
      <c r="B189" s="112" t="s">
        <v>63</v>
      </c>
      <c r="C189" s="16" t="s">
        <v>13</v>
      </c>
      <c r="D189" s="64" t="s">
        <v>105</v>
      </c>
      <c r="E189" s="56"/>
      <c r="F189" s="64" t="s">
        <v>105</v>
      </c>
      <c r="G189" s="64" t="s">
        <v>105</v>
      </c>
      <c r="H189" s="64" t="s">
        <v>105</v>
      </c>
      <c r="I189" s="56"/>
      <c r="J189" s="64" t="s">
        <v>105</v>
      </c>
      <c r="K189" s="64" t="s">
        <v>105</v>
      </c>
      <c r="L189" s="56"/>
      <c r="M189" s="56"/>
      <c r="N189" s="56"/>
      <c r="O189" s="56"/>
      <c r="Q189" s="12"/>
      <c r="R189" s="108"/>
      <c r="S189" s="112" t="s">
        <v>63</v>
      </c>
      <c r="T189" s="64" t="s">
        <v>13</v>
      </c>
      <c r="U189" s="64" t="s">
        <v>105</v>
      </c>
      <c r="V189" s="56"/>
      <c r="W189" s="64" t="s">
        <v>105</v>
      </c>
      <c r="X189" s="64" t="s">
        <v>105</v>
      </c>
      <c r="Y189" s="64" t="s">
        <v>107</v>
      </c>
      <c r="Z189" s="56"/>
      <c r="AA189" s="64" t="s">
        <v>107</v>
      </c>
      <c r="AB189" s="64" t="s">
        <v>105</v>
      </c>
      <c r="AC189" s="56"/>
      <c r="AD189" s="56"/>
      <c r="AE189" s="56"/>
      <c r="AF189" s="56"/>
    </row>
    <row r="190" spans="1:32" ht="15.75" thickBot="1">
      <c r="A190" s="108"/>
      <c r="B190" s="112"/>
      <c r="C190" s="16" t="s">
        <v>14</v>
      </c>
      <c r="D190" s="64" t="s">
        <v>105</v>
      </c>
      <c r="E190" s="56"/>
      <c r="F190" s="64" t="s">
        <v>107</v>
      </c>
      <c r="G190" s="64" t="s">
        <v>105</v>
      </c>
      <c r="H190" s="64" t="s">
        <v>107</v>
      </c>
      <c r="I190" s="56"/>
      <c r="J190" s="64" t="s">
        <v>105</v>
      </c>
      <c r="K190" s="64" t="s">
        <v>107</v>
      </c>
      <c r="L190" s="56"/>
      <c r="M190" s="56"/>
      <c r="N190" s="56"/>
      <c r="O190" s="56"/>
      <c r="Q190" s="12"/>
      <c r="R190" s="108"/>
      <c r="S190" s="112"/>
      <c r="T190" s="64" t="s">
        <v>14</v>
      </c>
      <c r="U190" s="64" t="s">
        <v>105</v>
      </c>
      <c r="V190" s="56"/>
      <c r="W190" s="64" t="s">
        <v>107</v>
      </c>
      <c r="X190" s="64" t="s">
        <v>107</v>
      </c>
      <c r="Y190" s="64" t="s">
        <v>107</v>
      </c>
      <c r="Z190" s="56"/>
      <c r="AA190" s="64" t="s">
        <v>107</v>
      </c>
      <c r="AB190" s="64" t="s">
        <v>107</v>
      </c>
      <c r="AC190" s="56"/>
      <c r="AD190" s="56"/>
      <c r="AE190" s="56"/>
      <c r="AF190" s="56"/>
    </row>
    <row r="191" spans="1:32" ht="15" customHeight="1" thickBot="1">
      <c r="A191" s="108"/>
      <c r="B191" s="112" t="s">
        <v>60</v>
      </c>
      <c r="C191" s="16" t="s">
        <v>13</v>
      </c>
      <c r="D191" s="64">
        <v>0.40561506381248502</v>
      </c>
      <c r="E191" s="56"/>
      <c r="F191" s="64">
        <v>0.60863134925448836</v>
      </c>
      <c r="G191" s="64">
        <v>0.74440805091859363</v>
      </c>
      <c r="H191" s="62">
        <v>0.81376651478886175</v>
      </c>
      <c r="I191" s="56"/>
      <c r="J191" s="64">
        <v>0.86832054506576251</v>
      </c>
      <c r="K191" s="64">
        <v>0.32534815859575006</v>
      </c>
      <c r="L191" s="56"/>
      <c r="M191" s="56"/>
      <c r="N191" s="56"/>
      <c r="O191" s="56"/>
      <c r="Q191" s="12"/>
      <c r="R191" s="108"/>
      <c r="S191" s="112" t="s">
        <v>60</v>
      </c>
      <c r="T191" s="64" t="s">
        <v>13</v>
      </c>
      <c r="U191" s="65">
        <v>0.58599310062345489</v>
      </c>
      <c r="V191" s="61"/>
      <c r="W191" s="65">
        <v>0.37636558910795614</v>
      </c>
      <c r="X191" s="65">
        <v>0.2599718419922894</v>
      </c>
      <c r="Y191" s="65">
        <v>7.3818067345786074E-3</v>
      </c>
      <c r="Z191" s="61"/>
      <c r="AA191" s="65">
        <v>1.807178188397736E-3</v>
      </c>
      <c r="AB191" s="65">
        <v>0.67246096131936395</v>
      </c>
      <c r="AC191" s="56"/>
      <c r="AD191" s="56"/>
      <c r="AE191" s="56"/>
      <c r="AF191" s="56"/>
    </row>
    <row r="192" spans="1:32" ht="15" customHeight="1" thickBot="1">
      <c r="A192" s="109"/>
      <c r="B192" s="112"/>
      <c r="C192" s="16" t="s">
        <v>14</v>
      </c>
      <c r="D192" s="64">
        <v>0.48362687672641225</v>
      </c>
      <c r="E192" s="56"/>
      <c r="F192" s="62">
        <v>0.12199224790569893</v>
      </c>
      <c r="G192" s="64">
        <v>0.23738853505830493</v>
      </c>
      <c r="H192" s="62">
        <v>0.11923303976335471</v>
      </c>
      <c r="I192" s="56"/>
      <c r="J192" s="64">
        <v>0.77383300887586193</v>
      </c>
      <c r="K192" s="64">
        <v>4.8328595673945644E-2</v>
      </c>
      <c r="L192" s="56"/>
      <c r="M192" s="56"/>
      <c r="N192" s="56"/>
      <c r="O192" s="56"/>
      <c r="Q192" s="12"/>
      <c r="R192" s="109"/>
      <c r="S192" s="112"/>
      <c r="T192" s="64" t="s">
        <v>14</v>
      </c>
      <c r="U192" s="65">
        <v>0.62845459699402406</v>
      </c>
      <c r="V192" s="61"/>
      <c r="W192" s="62">
        <v>0.18994132472566649</v>
      </c>
      <c r="X192" s="62">
        <v>0.11133102703683499</v>
      </c>
      <c r="Y192" s="65">
        <v>1.6736950272920454E-3</v>
      </c>
      <c r="Z192" s="61"/>
      <c r="AA192" s="65">
        <v>1.3893040394722222E-7</v>
      </c>
      <c r="AB192" s="62">
        <v>0.13051184005825159</v>
      </c>
      <c r="AC192" s="56"/>
      <c r="AD192" s="56"/>
      <c r="AE192" s="56"/>
      <c r="AF192" s="56"/>
    </row>
    <row r="193" spans="1:32" ht="15">
      <c r="A193" s="25"/>
      <c r="B193" s="23"/>
      <c r="C193" s="27"/>
      <c r="D193" s="25"/>
      <c r="E193" s="54"/>
      <c r="F193" s="25"/>
      <c r="G193" s="25"/>
      <c r="H193" s="25"/>
      <c r="I193" s="54"/>
      <c r="J193" s="25"/>
      <c r="K193" s="25"/>
      <c r="L193" s="54"/>
      <c r="M193" s="54"/>
      <c r="N193" s="54"/>
      <c r="O193" s="54"/>
      <c r="Q193" s="12"/>
      <c r="R193" s="25"/>
      <c r="S193" s="23"/>
      <c r="T193" s="25"/>
      <c r="U193" s="25"/>
      <c r="V193" s="54"/>
      <c r="W193" s="25"/>
      <c r="X193" s="25"/>
      <c r="Y193" s="25"/>
      <c r="Z193" s="54"/>
      <c r="AA193" s="25"/>
      <c r="AB193" s="25"/>
      <c r="AC193" s="54"/>
      <c r="AD193" s="54"/>
      <c r="AE193" s="54"/>
      <c r="AF193" s="54"/>
    </row>
    <row r="194" spans="1:32" ht="14.25" thickBot="1">
      <c r="A194" s="10"/>
      <c r="Q194" s="12"/>
    </row>
    <row r="195" spans="1:32" ht="19.5" thickBot="1">
      <c r="A195" s="99" t="s">
        <v>26</v>
      </c>
      <c r="B195" s="100"/>
      <c r="C195" s="101"/>
      <c r="D195" s="102" t="s">
        <v>39</v>
      </c>
      <c r="E195" s="103"/>
      <c r="F195" s="103"/>
      <c r="G195" s="104"/>
      <c r="H195" s="105" t="s">
        <v>40</v>
      </c>
      <c r="I195" s="103"/>
      <c r="J195" s="103"/>
      <c r="K195" s="104"/>
      <c r="L195" s="105" t="s">
        <v>53</v>
      </c>
      <c r="M195" s="103"/>
      <c r="N195" s="103"/>
      <c r="O195" s="106"/>
      <c r="Q195" s="12"/>
      <c r="R195" s="99" t="s">
        <v>26</v>
      </c>
      <c r="S195" s="100"/>
      <c r="T195" s="101"/>
      <c r="U195" s="102" t="s">
        <v>39</v>
      </c>
      <c r="V195" s="103"/>
      <c r="W195" s="103"/>
      <c r="X195" s="104"/>
      <c r="Y195" s="105" t="s">
        <v>40</v>
      </c>
      <c r="Z195" s="103"/>
      <c r="AA195" s="103"/>
      <c r="AB195" s="104"/>
      <c r="AC195" s="105" t="s">
        <v>53</v>
      </c>
      <c r="AD195" s="103"/>
      <c r="AE195" s="103"/>
      <c r="AF195" s="106"/>
    </row>
    <row r="196" spans="1:32" ht="15.75" thickBot="1">
      <c r="A196" s="7" t="s">
        <v>6</v>
      </c>
      <c r="B196" s="76" t="s">
        <v>7</v>
      </c>
      <c r="C196" s="8" t="s">
        <v>8</v>
      </c>
      <c r="D196" s="55" t="s">
        <v>9</v>
      </c>
      <c r="E196" s="55" t="s">
        <v>10</v>
      </c>
      <c r="F196" s="55" t="s">
        <v>11</v>
      </c>
      <c r="G196" s="55" t="s">
        <v>12</v>
      </c>
      <c r="H196" s="55" t="s">
        <v>9</v>
      </c>
      <c r="I196" s="55" t="s">
        <v>10</v>
      </c>
      <c r="J196" s="55" t="s">
        <v>11</v>
      </c>
      <c r="K196" s="55" t="s">
        <v>12</v>
      </c>
      <c r="L196" s="55" t="s">
        <v>9</v>
      </c>
      <c r="M196" s="55" t="s">
        <v>10</v>
      </c>
      <c r="N196" s="55" t="s">
        <v>11</v>
      </c>
      <c r="O196" s="55" t="s">
        <v>12</v>
      </c>
      <c r="Q196" s="12"/>
      <c r="R196" s="7" t="s">
        <v>6</v>
      </c>
      <c r="S196" s="76" t="s">
        <v>7</v>
      </c>
      <c r="T196" s="76" t="s">
        <v>8</v>
      </c>
      <c r="U196" s="55" t="s">
        <v>9</v>
      </c>
      <c r="V196" s="55" t="s">
        <v>10</v>
      </c>
      <c r="W196" s="55" t="s">
        <v>11</v>
      </c>
      <c r="X196" s="55" t="s">
        <v>12</v>
      </c>
      <c r="Y196" s="55" t="s">
        <v>9</v>
      </c>
      <c r="Z196" s="55" t="s">
        <v>10</v>
      </c>
      <c r="AA196" s="55" t="s">
        <v>11</v>
      </c>
      <c r="AB196" s="55" t="s">
        <v>12</v>
      </c>
      <c r="AC196" s="55" t="s">
        <v>9</v>
      </c>
      <c r="AD196" s="55" t="s">
        <v>10</v>
      </c>
      <c r="AE196" s="55" t="s">
        <v>11</v>
      </c>
      <c r="AF196" s="55" t="s">
        <v>12</v>
      </c>
    </row>
    <row r="197" spans="1:32" ht="15" customHeight="1" thickBot="1">
      <c r="A197" s="107" t="s">
        <v>41</v>
      </c>
      <c r="B197" s="107" t="s">
        <v>51</v>
      </c>
      <c r="C197" s="9" t="s">
        <v>13</v>
      </c>
      <c r="D197" s="56">
        <v>98162.726666666567</v>
      </c>
      <c r="E197" s="56">
        <v>785061.55333333323</v>
      </c>
      <c r="F197" s="56">
        <v>398110.69633333385</v>
      </c>
      <c r="G197" s="56">
        <v>2295044.4100000039</v>
      </c>
      <c r="H197" s="56">
        <v>-2548810.1000000089</v>
      </c>
      <c r="I197" s="56">
        <v>-670008.14700000081</v>
      </c>
      <c r="J197" s="56">
        <v>-38331585.36666666</v>
      </c>
      <c r="K197" s="56">
        <v>-1289503.9666666985</v>
      </c>
      <c r="L197" s="56"/>
      <c r="M197" s="56"/>
      <c r="N197" s="56"/>
      <c r="O197" s="56"/>
      <c r="Q197" s="12"/>
      <c r="R197" s="107" t="s">
        <v>41</v>
      </c>
      <c r="S197" s="107" t="s">
        <v>51</v>
      </c>
      <c r="T197" s="58" t="s">
        <v>13</v>
      </c>
      <c r="U197" s="77">
        <v>-2.711211400000002E-2</v>
      </c>
      <c r="V197" s="77">
        <v>1.1069249000000003E-2</v>
      </c>
      <c r="W197" s="77">
        <v>4.0269043333333449E-3</v>
      </c>
      <c r="X197" s="77">
        <v>-1.4042863666666683E-2</v>
      </c>
      <c r="Y197" s="77">
        <v>-1.9164360000000213E-3</v>
      </c>
      <c r="Z197" s="77">
        <v>-5.1956110000000166E-3</v>
      </c>
      <c r="AA197" s="77">
        <v>-0.37175204233333359</v>
      </c>
      <c r="AB197" s="77">
        <v>-1.977466299999997E-2</v>
      </c>
      <c r="AC197" s="56"/>
      <c r="AD197" s="56"/>
      <c r="AE197" s="56"/>
      <c r="AF197" s="56"/>
    </row>
    <row r="198" spans="1:32" ht="15" customHeight="1" thickBot="1">
      <c r="A198" s="108"/>
      <c r="B198" s="109"/>
      <c r="C198" s="9" t="s">
        <v>14</v>
      </c>
      <c r="D198" s="56">
        <v>-3878575.1033333316</v>
      </c>
      <c r="E198" s="56">
        <v>767752.75666666636</v>
      </c>
      <c r="F198" s="56">
        <v>343389.14983333461</v>
      </c>
      <c r="G198" s="56">
        <v>-1601208.1550000086</v>
      </c>
      <c r="H198" s="56">
        <v>-3209857.6649999917</v>
      </c>
      <c r="I198" s="56">
        <v>-660304.38933333196</v>
      </c>
      <c r="J198" s="56">
        <v>-50181094.616666675</v>
      </c>
      <c r="K198" s="56">
        <v>-3122197.8500000238</v>
      </c>
      <c r="L198" s="56"/>
      <c r="M198" s="56"/>
      <c r="N198" s="56"/>
      <c r="O198" s="56"/>
      <c r="Q198" s="12"/>
      <c r="R198" s="108"/>
      <c r="S198" s="109"/>
      <c r="T198" s="58" t="s">
        <v>14</v>
      </c>
      <c r="U198" s="77">
        <v>-4.8626044833333271E-2</v>
      </c>
      <c r="V198" s="77">
        <v>1.193413900000001E-2</v>
      </c>
      <c r="W198" s="77">
        <v>5.037689833333317E-3</v>
      </c>
      <c r="X198" s="77">
        <v>-2.4633512833333343E-2</v>
      </c>
      <c r="Y198" s="77">
        <v>-1.3738576500000044E-2</v>
      </c>
      <c r="Z198" s="77">
        <v>-8.464024500000028E-3</v>
      </c>
      <c r="AA198" s="77">
        <v>-0.55264284633333349</v>
      </c>
      <c r="AB198" s="77">
        <v>-4.2488790666666665E-2</v>
      </c>
      <c r="AC198" s="56"/>
      <c r="AD198" s="56"/>
      <c r="AE198" s="56"/>
      <c r="AF198" s="56"/>
    </row>
    <row r="199" spans="1:32" ht="15.75" thickBot="1">
      <c r="A199" s="108"/>
      <c r="B199" s="83" t="s">
        <v>15</v>
      </c>
      <c r="C199" s="9" t="s">
        <v>13</v>
      </c>
      <c r="D199" s="57">
        <v>1.9651450159396322E-3</v>
      </c>
      <c r="E199" s="57">
        <v>0.21499111439734178</v>
      </c>
      <c r="F199" s="57">
        <v>3.6432790552315825E-2</v>
      </c>
      <c r="G199" s="57">
        <v>3.556512124302643E-2</v>
      </c>
      <c r="H199" s="57">
        <v>-3.4694929218976912E-2</v>
      </c>
      <c r="I199" s="57">
        <v>-8.4951668624898669E-2</v>
      </c>
      <c r="J199" s="57">
        <v>-0.37748935579193221</v>
      </c>
      <c r="K199" s="57">
        <v>-7.0505576996768579E-3</v>
      </c>
      <c r="L199" s="56"/>
      <c r="M199" s="56"/>
      <c r="N199" s="56"/>
      <c r="O199" s="56"/>
      <c r="Q199" s="12"/>
      <c r="R199" s="108"/>
      <c r="S199" s="83" t="s">
        <v>15</v>
      </c>
      <c r="T199" s="58" t="s">
        <v>13</v>
      </c>
      <c r="U199" s="57">
        <v>-8.8487753587264434E-2</v>
      </c>
      <c r="V199" s="57">
        <v>0.1500992736080875</v>
      </c>
      <c r="W199" s="57">
        <v>4.1195474630473281E-2</v>
      </c>
      <c r="X199" s="57">
        <v>-7.050659897396204E-2</v>
      </c>
      <c r="Y199" s="57">
        <v>-4.6037537972748854E-3</v>
      </c>
      <c r="Z199" s="57">
        <v>-3.4071662609151045E-2</v>
      </c>
      <c r="AA199" s="57">
        <v>-0.37128016244950779</v>
      </c>
      <c r="AB199" s="57">
        <v>-3.5688724945557922E-2</v>
      </c>
      <c r="AC199" s="56"/>
      <c r="AD199" s="56"/>
      <c r="AE199" s="56"/>
      <c r="AF199" s="56"/>
    </row>
    <row r="200" spans="1:32" ht="15.75" thickBot="1">
      <c r="A200" s="108"/>
      <c r="B200" s="84"/>
      <c r="C200" s="9" t="s">
        <v>14</v>
      </c>
      <c r="D200" s="57">
        <v>-7.5797147193414863E-2</v>
      </c>
      <c r="E200" s="57">
        <v>0.21083709969014167</v>
      </c>
      <c r="F200" s="57">
        <v>3.1301229756067958E-2</v>
      </c>
      <c r="G200" s="57">
        <v>-2.4340988067050619E-2</v>
      </c>
      <c r="H200" s="57">
        <v>-4.317059323611605E-2</v>
      </c>
      <c r="I200" s="57">
        <v>-8.0586348049834569E-2</v>
      </c>
      <c r="J200" s="57">
        <v>-0.48773339950993166</v>
      </c>
      <c r="K200" s="57">
        <v>-1.6837341781147968E-2</v>
      </c>
      <c r="L200" s="56"/>
      <c r="M200" s="56"/>
      <c r="N200" s="56"/>
      <c r="O200" s="56"/>
      <c r="Q200" s="12"/>
      <c r="R200" s="108"/>
      <c r="S200" s="84"/>
      <c r="T200" s="58" t="s">
        <v>14</v>
      </c>
      <c r="U200" s="57">
        <v>-0.15265561491633495</v>
      </c>
      <c r="V200" s="57">
        <v>0.15961644368335637</v>
      </c>
      <c r="W200" s="57">
        <v>5.0887820961151811E-2</v>
      </c>
      <c r="X200" s="57">
        <v>-0.11979845650086159</v>
      </c>
      <c r="Y200" s="57">
        <v>-3.355151530526642E-2</v>
      </c>
      <c r="Z200" s="57">
        <v>-5.5041332095920152E-2</v>
      </c>
      <c r="AA200" s="57">
        <v>-0.5483571187738796</v>
      </c>
      <c r="AB200" s="57">
        <v>-7.7269144557225347E-2</v>
      </c>
      <c r="AC200" s="56"/>
      <c r="AD200" s="56"/>
      <c r="AE200" s="56"/>
      <c r="AF200" s="56"/>
    </row>
    <row r="201" spans="1:32" ht="15.75" thickBot="1">
      <c r="A201" s="108"/>
      <c r="B201" s="110" t="s">
        <v>16</v>
      </c>
      <c r="C201" s="9" t="s">
        <v>13</v>
      </c>
      <c r="D201" s="58" t="s">
        <v>104</v>
      </c>
      <c r="E201" s="58" t="s">
        <v>104</v>
      </c>
      <c r="F201" s="58" t="s">
        <v>104</v>
      </c>
      <c r="G201" s="58" t="s">
        <v>104</v>
      </c>
      <c r="H201" s="58" t="s">
        <v>103</v>
      </c>
      <c r="I201" s="58" t="s">
        <v>103</v>
      </c>
      <c r="J201" s="58" t="s">
        <v>103</v>
      </c>
      <c r="K201" s="58" t="s">
        <v>103</v>
      </c>
      <c r="L201" s="56"/>
      <c r="M201" s="56"/>
      <c r="N201" s="56"/>
      <c r="O201" s="56"/>
      <c r="Q201" s="12"/>
      <c r="R201" s="108"/>
      <c r="S201" s="83" t="s">
        <v>16</v>
      </c>
      <c r="T201" s="58" t="s">
        <v>13</v>
      </c>
      <c r="U201" s="58" t="s">
        <v>103</v>
      </c>
      <c r="V201" s="58" t="s">
        <v>104</v>
      </c>
      <c r="W201" s="58" t="s">
        <v>104</v>
      </c>
      <c r="X201" s="58" t="s">
        <v>103</v>
      </c>
      <c r="Y201" s="58" t="s">
        <v>103</v>
      </c>
      <c r="Z201" s="58" t="s">
        <v>103</v>
      </c>
      <c r="AA201" s="58" t="s">
        <v>103</v>
      </c>
      <c r="AB201" s="58" t="s">
        <v>103</v>
      </c>
      <c r="AC201" s="56"/>
      <c r="AD201" s="56"/>
      <c r="AE201" s="56"/>
      <c r="AF201" s="56"/>
    </row>
    <row r="202" spans="1:32" ht="15.75" thickBot="1">
      <c r="A202" s="108"/>
      <c r="B202" s="111"/>
      <c r="C202" s="9" t="s">
        <v>14</v>
      </c>
      <c r="D202" s="58" t="s">
        <v>103</v>
      </c>
      <c r="E202" s="58" t="s">
        <v>104</v>
      </c>
      <c r="F202" s="58" t="s">
        <v>104</v>
      </c>
      <c r="G202" s="58" t="s">
        <v>103</v>
      </c>
      <c r="H202" s="58" t="s">
        <v>103</v>
      </c>
      <c r="I202" s="58" t="s">
        <v>103</v>
      </c>
      <c r="J202" s="58" t="s">
        <v>103</v>
      </c>
      <c r="K202" s="58" t="s">
        <v>103</v>
      </c>
      <c r="L202" s="56"/>
      <c r="M202" s="56"/>
      <c r="N202" s="56"/>
      <c r="O202" s="56"/>
      <c r="Q202" s="12"/>
      <c r="R202" s="108"/>
      <c r="S202" s="84"/>
      <c r="T202" s="58" t="s">
        <v>14</v>
      </c>
      <c r="U202" s="58" t="s">
        <v>103</v>
      </c>
      <c r="V202" s="58" t="s">
        <v>104</v>
      </c>
      <c r="W202" s="58" t="s">
        <v>104</v>
      </c>
      <c r="X202" s="58" t="s">
        <v>103</v>
      </c>
      <c r="Y202" s="58" t="s">
        <v>103</v>
      </c>
      <c r="Z202" s="58" t="s">
        <v>103</v>
      </c>
      <c r="AA202" s="58" t="s">
        <v>103</v>
      </c>
      <c r="AB202" s="58" t="s">
        <v>103</v>
      </c>
      <c r="AC202" s="56"/>
      <c r="AD202" s="56"/>
      <c r="AE202" s="56"/>
      <c r="AF202" s="56"/>
    </row>
    <row r="203" spans="1:32" ht="15.75" customHeight="1" thickBot="1">
      <c r="A203" s="108"/>
      <c r="B203" s="112" t="s">
        <v>63</v>
      </c>
      <c r="C203" s="16" t="s">
        <v>13</v>
      </c>
      <c r="D203" s="64" t="s">
        <v>105</v>
      </c>
      <c r="E203" s="64" t="s">
        <v>105</v>
      </c>
      <c r="F203" s="64" t="s">
        <v>105</v>
      </c>
      <c r="G203" s="64" t="s">
        <v>105</v>
      </c>
      <c r="H203" s="64" t="s">
        <v>105</v>
      </c>
      <c r="I203" s="64" t="s">
        <v>105</v>
      </c>
      <c r="J203" s="64" t="s">
        <v>107</v>
      </c>
      <c r="K203" s="64" t="s">
        <v>105</v>
      </c>
      <c r="L203" s="56"/>
      <c r="M203" s="56"/>
      <c r="N203" s="56"/>
      <c r="O203" s="56"/>
      <c r="Q203" s="12"/>
      <c r="R203" s="108"/>
      <c r="S203" s="112" t="s">
        <v>63</v>
      </c>
      <c r="T203" s="64" t="s">
        <v>13</v>
      </c>
      <c r="U203" s="64" t="s">
        <v>107</v>
      </c>
      <c r="V203" s="64" t="s">
        <v>107</v>
      </c>
      <c r="W203" s="64" t="s">
        <v>107</v>
      </c>
      <c r="X203" s="64" t="s">
        <v>107</v>
      </c>
      <c r="Y203" s="64" t="s">
        <v>105</v>
      </c>
      <c r="Z203" s="64" t="s">
        <v>105</v>
      </c>
      <c r="AA203" s="64" t="s">
        <v>107</v>
      </c>
      <c r="AB203" s="64" t="s">
        <v>107</v>
      </c>
      <c r="AC203" s="56"/>
      <c r="AD203" s="56"/>
      <c r="AE203" s="56"/>
      <c r="AF203" s="56"/>
    </row>
    <row r="204" spans="1:32" ht="15.75" thickBot="1">
      <c r="A204" s="108"/>
      <c r="B204" s="112"/>
      <c r="C204" s="16" t="s">
        <v>14</v>
      </c>
      <c r="D204" s="64" t="s">
        <v>107</v>
      </c>
      <c r="E204" s="64" t="s">
        <v>107</v>
      </c>
      <c r="F204" s="64" t="s">
        <v>105</v>
      </c>
      <c r="G204" s="64" t="s">
        <v>105</v>
      </c>
      <c r="H204" s="64" t="s">
        <v>107</v>
      </c>
      <c r="I204" s="64" t="s">
        <v>107</v>
      </c>
      <c r="J204" s="64" t="s">
        <v>107</v>
      </c>
      <c r="K204" s="64" t="s">
        <v>105</v>
      </c>
      <c r="L204" s="56"/>
      <c r="M204" s="56"/>
      <c r="N204" s="56"/>
      <c r="O204" s="56"/>
      <c r="Q204" s="12"/>
      <c r="R204" s="108"/>
      <c r="S204" s="112"/>
      <c r="T204" s="64" t="s">
        <v>14</v>
      </c>
      <c r="U204" s="64" t="s">
        <v>107</v>
      </c>
      <c r="V204" s="64" t="s">
        <v>107</v>
      </c>
      <c r="W204" s="64" t="s">
        <v>107</v>
      </c>
      <c r="X204" s="64" t="s">
        <v>107</v>
      </c>
      <c r="Y204" s="64" t="s">
        <v>107</v>
      </c>
      <c r="Z204" s="64" t="s">
        <v>107</v>
      </c>
      <c r="AA204" s="64" t="s">
        <v>107</v>
      </c>
      <c r="AB204" s="64" t="s">
        <v>107</v>
      </c>
      <c r="AC204" s="56"/>
      <c r="AD204" s="56"/>
      <c r="AE204" s="56"/>
      <c r="AF204" s="56"/>
    </row>
    <row r="205" spans="1:32" ht="15" customHeight="1" thickBot="1">
      <c r="A205" s="108"/>
      <c r="B205" s="112" t="s">
        <v>60</v>
      </c>
      <c r="C205" s="16" t="s">
        <v>13</v>
      </c>
      <c r="D205" s="65">
        <v>0.96709846033398661</v>
      </c>
      <c r="E205" s="49">
        <v>0.12959954744210109</v>
      </c>
      <c r="F205" s="65">
        <v>0.68468187433254379</v>
      </c>
      <c r="G205" s="65">
        <v>0.41550386884781487</v>
      </c>
      <c r="H205" s="65">
        <v>0.46471775550589833</v>
      </c>
      <c r="I205" s="65">
        <v>0.18735753249405893</v>
      </c>
      <c r="J205" s="65">
        <v>3.7616176495407438E-2</v>
      </c>
      <c r="K205" s="64">
        <v>0.87464361811846936</v>
      </c>
      <c r="L205" s="56"/>
      <c r="M205" s="56"/>
      <c r="N205" s="56"/>
      <c r="O205" s="56"/>
      <c r="Q205" s="12"/>
      <c r="R205" s="108"/>
      <c r="S205" s="112" t="s">
        <v>60</v>
      </c>
      <c r="T205" s="64" t="s">
        <v>13</v>
      </c>
      <c r="U205" s="65">
        <v>8.848988068013211E-2</v>
      </c>
      <c r="V205" s="49">
        <v>0.11156065108552855</v>
      </c>
      <c r="W205" s="65">
        <v>1.3439659776978688E-2</v>
      </c>
      <c r="X205" s="49">
        <v>0.10477753768227029</v>
      </c>
      <c r="Y205" s="65">
        <v>0.76768762109121191</v>
      </c>
      <c r="Z205" s="65">
        <v>0.28847238328658853</v>
      </c>
      <c r="AA205" s="65">
        <v>4.5323809146876171E-2</v>
      </c>
      <c r="AB205" s="65">
        <v>0.15166404062200606</v>
      </c>
      <c r="AC205" s="56"/>
      <c r="AD205" s="56"/>
      <c r="AE205" s="56"/>
      <c r="AF205" s="56"/>
    </row>
    <row r="206" spans="1:32" ht="15" customHeight="1" thickBot="1">
      <c r="A206" s="109"/>
      <c r="B206" s="112"/>
      <c r="C206" s="16" t="s">
        <v>14</v>
      </c>
      <c r="D206" s="62">
        <v>0.19816470790849483</v>
      </c>
      <c r="E206" s="65">
        <v>1.9750043162624804E-3</v>
      </c>
      <c r="F206" s="65">
        <v>0.55879609171166844</v>
      </c>
      <c r="G206" s="65">
        <v>0.58815504923171702</v>
      </c>
      <c r="H206" s="62">
        <v>0.10265450574486099</v>
      </c>
      <c r="I206" s="62">
        <v>0.10846350990342055</v>
      </c>
      <c r="J206" s="65">
        <v>3.1198394415700079E-4</v>
      </c>
      <c r="K206" s="64">
        <v>0.54815983224269327</v>
      </c>
      <c r="L206" s="56"/>
      <c r="M206" s="56"/>
      <c r="N206" s="56"/>
      <c r="O206" s="56"/>
      <c r="Q206" s="12"/>
      <c r="R206" s="109"/>
      <c r="S206" s="112"/>
      <c r="T206" s="64" t="s">
        <v>14</v>
      </c>
      <c r="U206" s="65">
        <v>2.316499017156283E-2</v>
      </c>
      <c r="V206" s="65">
        <v>7.3283621120049617E-4</v>
      </c>
      <c r="W206" s="65">
        <v>7.41225183362859E-5</v>
      </c>
      <c r="X206" s="65">
        <v>2.6218011349665601E-2</v>
      </c>
      <c r="Y206" s="65">
        <v>2.3272453774174064E-2</v>
      </c>
      <c r="Z206" s="65">
        <v>2.25348093570235E-2</v>
      </c>
      <c r="AA206" s="65">
        <v>3.1183276965221458E-4</v>
      </c>
      <c r="AB206" s="65">
        <v>5.0844463890871057E-3</v>
      </c>
      <c r="AC206" s="56"/>
      <c r="AD206" s="56"/>
      <c r="AE206" s="56"/>
      <c r="AF206" s="56"/>
    </row>
    <row r="207" spans="1:32" ht="15">
      <c r="A207" s="23"/>
      <c r="B207" s="23"/>
      <c r="C207" s="27"/>
      <c r="D207" s="25"/>
      <c r="E207" s="25"/>
      <c r="F207" s="25"/>
      <c r="G207" s="25"/>
      <c r="H207" s="25"/>
      <c r="I207" s="25"/>
      <c r="J207" s="25"/>
      <c r="K207" s="25"/>
      <c r="L207" s="54"/>
      <c r="M207" s="54"/>
      <c r="N207" s="54"/>
      <c r="O207" s="54"/>
      <c r="Q207" s="12"/>
      <c r="R207" s="23"/>
      <c r="S207" s="23"/>
      <c r="T207" s="25"/>
      <c r="U207" s="25"/>
      <c r="V207" s="25"/>
      <c r="W207" s="25"/>
      <c r="X207" s="25"/>
      <c r="Y207" s="25"/>
      <c r="Z207" s="25"/>
      <c r="AA207" s="25"/>
      <c r="AB207" s="25"/>
      <c r="AC207" s="54"/>
      <c r="AD207" s="54"/>
      <c r="AE207" s="54"/>
      <c r="AF207" s="54"/>
    </row>
    <row r="208" spans="1:32" ht="14.25" thickBot="1">
      <c r="A208" s="5"/>
      <c r="Q208" s="12"/>
    </row>
    <row r="209" spans="1:32" ht="19.5" thickBot="1">
      <c r="A209" s="99" t="s">
        <v>26</v>
      </c>
      <c r="B209" s="100"/>
      <c r="C209" s="101"/>
      <c r="D209" s="102" t="s">
        <v>45</v>
      </c>
      <c r="E209" s="103"/>
      <c r="F209" s="103"/>
      <c r="G209" s="104"/>
      <c r="H209" s="105" t="s">
        <v>46</v>
      </c>
      <c r="I209" s="103"/>
      <c r="J209" s="103"/>
      <c r="K209" s="104"/>
      <c r="L209" s="105" t="s">
        <v>54</v>
      </c>
      <c r="M209" s="103"/>
      <c r="N209" s="103"/>
      <c r="O209" s="106"/>
      <c r="Q209" s="12"/>
      <c r="R209" s="99" t="s">
        <v>26</v>
      </c>
      <c r="S209" s="100"/>
      <c r="T209" s="101"/>
      <c r="U209" s="102" t="s">
        <v>45</v>
      </c>
      <c r="V209" s="103"/>
      <c r="W209" s="103"/>
      <c r="X209" s="104"/>
      <c r="Y209" s="105" t="s">
        <v>46</v>
      </c>
      <c r="Z209" s="103"/>
      <c r="AA209" s="103"/>
      <c r="AB209" s="104"/>
      <c r="AC209" s="105" t="s">
        <v>54</v>
      </c>
      <c r="AD209" s="103"/>
      <c r="AE209" s="103"/>
      <c r="AF209" s="106"/>
    </row>
    <row r="210" spans="1:32" ht="15.75" thickBot="1">
      <c r="A210" s="7" t="s">
        <v>6</v>
      </c>
      <c r="B210" s="76" t="s">
        <v>7</v>
      </c>
      <c r="C210" s="8" t="s">
        <v>8</v>
      </c>
      <c r="D210" s="55" t="s">
        <v>9</v>
      </c>
      <c r="E210" s="55" t="s">
        <v>10</v>
      </c>
      <c r="F210" s="55" t="s">
        <v>11</v>
      </c>
      <c r="G210" s="55" t="s">
        <v>12</v>
      </c>
      <c r="H210" s="55" t="s">
        <v>9</v>
      </c>
      <c r="I210" s="55" t="s">
        <v>10</v>
      </c>
      <c r="J210" s="55" t="s">
        <v>11</v>
      </c>
      <c r="K210" s="55" t="s">
        <v>12</v>
      </c>
      <c r="L210" s="55" t="s">
        <v>9</v>
      </c>
      <c r="M210" s="55" t="s">
        <v>10</v>
      </c>
      <c r="N210" s="55" t="s">
        <v>11</v>
      </c>
      <c r="O210" s="55" t="s">
        <v>12</v>
      </c>
      <c r="Q210" s="12"/>
      <c r="R210" s="7" t="s">
        <v>6</v>
      </c>
      <c r="S210" s="76" t="s">
        <v>7</v>
      </c>
      <c r="T210" s="76" t="s">
        <v>8</v>
      </c>
      <c r="U210" s="55" t="s">
        <v>9</v>
      </c>
      <c r="V210" s="55" t="s">
        <v>10</v>
      </c>
      <c r="W210" s="55" t="s">
        <v>11</v>
      </c>
      <c r="X210" s="55" t="s">
        <v>12</v>
      </c>
      <c r="Y210" s="55" t="s">
        <v>9</v>
      </c>
      <c r="Z210" s="55" t="s">
        <v>10</v>
      </c>
      <c r="AA210" s="55" t="s">
        <v>11</v>
      </c>
      <c r="AB210" s="55" t="s">
        <v>12</v>
      </c>
      <c r="AC210" s="55" t="s">
        <v>9</v>
      </c>
      <c r="AD210" s="55" t="s">
        <v>10</v>
      </c>
      <c r="AE210" s="55" t="s">
        <v>11</v>
      </c>
      <c r="AF210" s="55" t="s">
        <v>12</v>
      </c>
    </row>
    <row r="211" spans="1:32" ht="15.75" thickBot="1">
      <c r="A211" s="107" t="s">
        <v>42</v>
      </c>
      <c r="B211" s="107" t="s">
        <v>51</v>
      </c>
      <c r="C211" s="9" t="s">
        <v>13</v>
      </c>
      <c r="D211" s="56">
        <v>-39591.714527429081</v>
      </c>
      <c r="E211" s="56"/>
      <c r="F211" s="56">
        <v>-560446.20543494355</v>
      </c>
      <c r="G211" s="56">
        <v>-598586.07423821278</v>
      </c>
      <c r="H211" s="56">
        <v>-304349.47758251987</v>
      </c>
      <c r="I211" s="56">
        <v>0</v>
      </c>
      <c r="J211" s="56">
        <v>-194288.9147175774</v>
      </c>
      <c r="K211" s="56">
        <v>-781681.28690165468</v>
      </c>
      <c r="L211" s="56"/>
      <c r="M211" s="56"/>
      <c r="N211" s="56"/>
      <c r="O211" s="56"/>
      <c r="Q211" s="12"/>
      <c r="R211" s="107" t="s">
        <v>42</v>
      </c>
      <c r="S211" s="107" t="s">
        <v>51</v>
      </c>
      <c r="T211" s="58" t="s">
        <v>13</v>
      </c>
      <c r="U211" s="77">
        <v>-2.4317953383106924E-4</v>
      </c>
      <c r="V211" s="56"/>
      <c r="W211" s="77">
        <v>-5.2247770912020666E-3</v>
      </c>
      <c r="X211" s="77">
        <v>-4.8601323394109608E-4</v>
      </c>
      <c r="Y211" s="77">
        <v>-2.2652846029715297E-3</v>
      </c>
      <c r="Z211" s="56"/>
      <c r="AA211" s="77">
        <v>-7.8865437464042398E-3</v>
      </c>
      <c r="AB211" s="77">
        <v>-2.691134300406902E-3</v>
      </c>
      <c r="AC211" s="56"/>
      <c r="AD211" s="56"/>
      <c r="AE211" s="56"/>
      <c r="AF211" s="56"/>
    </row>
    <row r="212" spans="1:32" ht="15.75" thickBot="1">
      <c r="A212" s="108"/>
      <c r="B212" s="109"/>
      <c r="C212" s="9" t="s">
        <v>14</v>
      </c>
      <c r="D212" s="56">
        <v>-193046.2927255109</v>
      </c>
      <c r="E212" s="56"/>
      <c r="F212" s="56">
        <v>-718660.41484659165</v>
      </c>
      <c r="G212" s="56">
        <v>-910721.43937342428</v>
      </c>
      <c r="H212" s="56">
        <v>-484656.40801812336</v>
      </c>
      <c r="I212" s="56">
        <v>0</v>
      </c>
      <c r="J212" s="56">
        <v>-287996.17131062504</v>
      </c>
      <c r="K212" s="56">
        <v>-1122223.2710055597</v>
      </c>
      <c r="L212" s="56"/>
      <c r="M212" s="56"/>
      <c r="N212" s="56"/>
      <c r="O212" s="56"/>
      <c r="Q212" s="12"/>
      <c r="R212" s="108"/>
      <c r="S212" s="109"/>
      <c r="T212" s="58" t="s">
        <v>14</v>
      </c>
      <c r="U212" s="77">
        <v>-1.381218203412627E-3</v>
      </c>
      <c r="V212" s="56"/>
      <c r="W212" s="77">
        <v>-9.4101983165114922E-3</v>
      </c>
      <c r="X212" s="77">
        <v>-1.7618418211701597E-3</v>
      </c>
      <c r="Y212" s="77">
        <v>-3.0143601268583196E-3</v>
      </c>
      <c r="Z212" s="56"/>
      <c r="AA212" s="77">
        <v>-1.1106840153911002E-2</v>
      </c>
      <c r="AB212" s="77">
        <v>-3.7305231275908089E-3</v>
      </c>
      <c r="AC212" s="56"/>
      <c r="AD212" s="56"/>
      <c r="AE212" s="56"/>
      <c r="AF212" s="56"/>
    </row>
    <row r="213" spans="1:32" ht="15.75" thickBot="1">
      <c r="A213" s="108"/>
      <c r="B213" s="83" t="s">
        <v>15</v>
      </c>
      <c r="C213" s="9" t="s">
        <v>13</v>
      </c>
      <c r="D213" s="57">
        <v>-9.3812848575059189E-3</v>
      </c>
      <c r="E213" s="56"/>
      <c r="F213" s="57">
        <v>-0.11529499537437411</v>
      </c>
      <c r="G213" s="57">
        <v>-6.591440796706502E-2</v>
      </c>
      <c r="H213" s="57">
        <v>-7.0040858790970176E-2</v>
      </c>
      <c r="I213" s="56">
        <v>0</v>
      </c>
      <c r="J213" s="57">
        <v>-3.8724735080375328E-2</v>
      </c>
      <c r="K213" s="57">
        <v>-8.3490729487582432E-2</v>
      </c>
      <c r="L213" s="56"/>
      <c r="M213" s="56"/>
      <c r="N213" s="56"/>
      <c r="O213" s="56"/>
      <c r="Q213" s="12"/>
      <c r="R213" s="108"/>
      <c r="S213" s="83" t="s">
        <v>15</v>
      </c>
      <c r="T213" s="58" t="s">
        <v>13</v>
      </c>
      <c r="U213" s="57">
        <v>-1.0010033007491228E-2</v>
      </c>
      <c r="V213" s="56"/>
      <c r="W213" s="57">
        <v>-9.9518106897181505E-2</v>
      </c>
      <c r="X213" s="57">
        <v>-1.7114833032863135E-2</v>
      </c>
      <c r="Y213" s="57">
        <v>-9.3279602457816538E-2</v>
      </c>
      <c r="Z213" s="56"/>
      <c r="AA213" s="57">
        <v>-0.15517329789110895</v>
      </c>
      <c r="AB213" s="57">
        <v>-9.492522629877391E-2</v>
      </c>
      <c r="AC213" s="56"/>
      <c r="AD213" s="56"/>
      <c r="AE213" s="56"/>
      <c r="AF213" s="56"/>
    </row>
    <row r="214" spans="1:32" ht="15.75" thickBot="1">
      <c r="A214" s="108"/>
      <c r="B214" s="84"/>
      <c r="C214" s="9" t="s">
        <v>14</v>
      </c>
      <c r="D214" s="57">
        <v>-4.507478406954489E-2</v>
      </c>
      <c r="E214" s="56"/>
      <c r="F214" s="57">
        <v>-0.14550499341170978</v>
      </c>
      <c r="G214" s="57">
        <v>-9.8756618635784776E-2</v>
      </c>
      <c r="H214" s="57">
        <v>-0.11080661946039921</v>
      </c>
      <c r="I214" s="56">
        <v>0</v>
      </c>
      <c r="J214" s="57">
        <v>-5.7385355217538896E-2</v>
      </c>
      <c r="K214" s="57">
        <v>-0.11948041163128224</v>
      </c>
      <c r="L214" s="56"/>
      <c r="M214" s="56"/>
      <c r="N214" s="56"/>
      <c r="O214" s="56"/>
      <c r="Q214" s="12"/>
      <c r="R214" s="108"/>
      <c r="S214" s="84"/>
      <c r="T214" s="58" t="s">
        <v>14</v>
      </c>
      <c r="U214" s="57">
        <v>-5.6865450898803668E-2</v>
      </c>
      <c r="V214" s="56"/>
      <c r="W214" s="57">
        <v>-0.18214778568667175</v>
      </c>
      <c r="X214" s="57">
        <v>-6.2094364304128784E-2</v>
      </c>
      <c r="Y214" s="57">
        <v>-0.12239362735308931</v>
      </c>
      <c r="Z214" s="56"/>
      <c r="AA214" s="57">
        <v>-0.22160659042063852</v>
      </c>
      <c r="AB214" s="57">
        <v>-0.13118709555785757</v>
      </c>
      <c r="AC214" s="56"/>
      <c r="AD214" s="56"/>
      <c r="AE214" s="56"/>
      <c r="AF214" s="56"/>
    </row>
    <row r="215" spans="1:32" ht="15.75" thickBot="1">
      <c r="A215" s="108"/>
      <c r="B215" s="110" t="s">
        <v>16</v>
      </c>
      <c r="C215" s="9" t="s">
        <v>13</v>
      </c>
      <c r="D215" s="58" t="s">
        <v>103</v>
      </c>
      <c r="E215" s="56"/>
      <c r="F215" s="58" t="s">
        <v>103</v>
      </c>
      <c r="G215" s="58" t="s">
        <v>103</v>
      </c>
      <c r="H215" s="58" t="s">
        <v>103</v>
      </c>
      <c r="I215" s="56">
        <v>0</v>
      </c>
      <c r="J215" s="58" t="s">
        <v>103</v>
      </c>
      <c r="K215" s="58" t="s">
        <v>103</v>
      </c>
      <c r="L215" s="56"/>
      <c r="M215" s="56"/>
      <c r="N215" s="56"/>
      <c r="O215" s="56"/>
      <c r="Q215" s="12"/>
      <c r="R215" s="108"/>
      <c r="S215" s="83" t="s">
        <v>16</v>
      </c>
      <c r="T215" s="58" t="s">
        <v>13</v>
      </c>
      <c r="U215" s="58" t="s">
        <v>103</v>
      </c>
      <c r="V215" s="56"/>
      <c r="W215" s="58" t="s">
        <v>103</v>
      </c>
      <c r="X215" s="58" t="s">
        <v>103</v>
      </c>
      <c r="Y215" s="58" t="s">
        <v>103</v>
      </c>
      <c r="Z215" s="56"/>
      <c r="AA215" s="58" t="s">
        <v>103</v>
      </c>
      <c r="AB215" s="58" t="s">
        <v>103</v>
      </c>
      <c r="AC215" s="56"/>
      <c r="AD215" s="56"/>
      <c r="AE215" s="56"/>
      <c r="AF215" s="56"/>
    </row>
    <row r="216" spans="1:32" ht="15.75" thickBot="1">
      <c r="A216" s="108"/>
      <c r="B216" s="111"/>
      <c r="C216" s="9" t="s">
        <v>14</v>
      </c>
      <c r="D216" s="58" t="s">
        <v>103</v>
      </c>
      <c r="E216" s="56"/>
      <c r="F216" s="58" t="s">
        <v>103</v>
      </c>
      <c r="G216" s="58" t="s">
        <v>103</v>
      </c>
      <c r="H216" s="58" t="s">
        <v>103</v>
      </c>
      <c r="I216" s="56">
        <v>0</v>
      </c>
      <c r="J216" s="58" t="s">
        <v>103</v>
      </c>
      <c r="K216" s="58" t="s">
        <v>103</v>
      </c>
      <c r="L216" s="56"/>
      <c r="M216" s="56"/>
      <c r="N216" s="56"/>
      <c r="O216" s="56"/>
      <c r="Q216" s="12"/>
      <c r="R216" s="108"/>
      <c r="S216" s="84"/>
      <c r="T216" s="58" t="s">
        <v>14</v>
      </c>
      <c r="U216" s="58" t="s">
        <v>103</v>
      </c>
      <c r="V216" s="56"/>
      <c r="W216" s="58" t="s">
        <v>103</v>
      </c>
      <c r="X216" s="58" t="s">
        <v>103</v>
      </c>
      <c r="Y216" s="58" t="s">
        <v>103</v>
      </c>
      <c r="Z216" s="56"/>
      <c r="AA216" s="58" t="s">
        <v>103</v>
      </c>
      <c r="AB216" s="58" t="s">
        <v>103</v>
      </c>
      <c r="AC216" s="56"/>
      <c r="AD216" s="56"/>
      <c r="AE216" s="56"/>
      <c r="AF216" s="56"/>
    </row>
    <row r="217" spans="1:32" ht="15.75" customHeight="1" thickBot="1">
      <c r="A217" s="108"/>
      <c r="B217" s="112" t="s">
        <v>63</v>
      </c>
      <c r="C217" s="16" t="s">
        <v>13</v>
      </c>
      <c r="D217" s="64" t="s">
        <v>105</v>
      </c>
      <c r="E217" s="56"/>
      <c r="F217" s="64" t="s">
        <v>105</v>
      </c>
      <c r="G217" s="64" t="s">
        <v>105</v>
      </c>
      <c r="H217" s="64" t="s">
        <v>107</v>
      </c>
      <c r="I217" s="56">
        <v>0</v>
      </c>
      <c r="J217" s="64" t="s">
        <v>105</v>
      </c>
      <c r="K217" s="64" t="s">
        <v>107</v>
      </c>
      <c r="L217" s="56"/>
      <c r="M217" s="56"/>
      <c r="N217" s="56"/>
      <c r="O217" s="56"/>
      <c r="Q217" s="12"/>
      <c r="R217" s="108"/>
      <c r="S217" s="112" t="s">
        <v>63</v>
      </c>
      <c r="T217" s="64" t="s">
        <v>13</v>
      </c>
      <c r="U217" s="64" t="s">
        <v>105</v>
      </c>
      <c r="V217" s="56"/>
      <c r="W217" s="64" t="s">
        <v>107</v>
      </c>
      <c r="X217" s="64" t="s">
        <v>105</v>
      </c>
      <c r="Y217" s="64" t="s">
        <v>107</v>
      </c>
      <c r="Z217" s="56"/>
      <c r="AA217" s="64" t="s">
        <v>107</v>
      </c>
      <c r="AB217" s="64" t="s">
        <v>107</v>
      </c>
      <c r="AC217" s="56"/>
      <c r="AD217" s="56"/>
      <c r="AE217" s="56"/>
      <c r="AF217" s="56"/>
    </row>
    <row r="218" spans="1:32" ht="15.75" thickBot="1">
      <c r="A218" s="108"/>
      <c r="B218" s="112"/>
      <c r="C218" s="16" t="s">
        <v>14</v>
      </c>
      <c r="D218" s="64" t="s">
        <v>107</v>
      </c>
      <c r="E218" s="56"/>
      <c r="F218" s="64" t="s">
        <v>107</v>
      </c>
      <c r="G218" s="64" t="s">
        <v>107</v>
      </c>
      <c r="H218" s="64" t="s">
        <v>107</v>
      </c>
      <c r="I218" s="56">
        <v>0</v>
      </c>
      <c r="J218" s="64" t="s">
        <v>105</v>
      </c>
      <c r="K218" s="64" t="s">
        <v>107</v>
      </c>
      <c r="L218" s="56"/>
      <c r="M218" s="56"/>
      <c r="N218" s="56"/>
      <c r="O218" s="56"/>
      <c r="Q218" s="12"/>
      <c r="R218" s="108"/>
      <c r="S218" s="112"/>
      <c r="T218" s="64" t="s">
        <v>14</v>
      </c>
      <c r="U218" s="64" t="s">
        <v>107</v>
      </c>
      <c r="V218" s="56"/>
      <c r="W218" s="64" t="s">
        <v>107</v>
      </c>
      <c r="X218" s="64" t="s">
        <v>107</v>
      </c>
      <c r="Y218" s="64" t="s">
        <v>107</v>
      </c>
      <c r="Z218" s="56"/>
      <c r="AA218" s="64" t="s">
        <v>107</v>
      </c>
      <c r="AB218" s="64" t="s">
        <v>107</v>
      </c>
      <c r="AC218" s="56"/>
      <c r="AD218" s="56"/>
      <c r="AE218" s="56"/>
      <c r="AF218" s="56"/>
    </row>
    <row r="219" spans="1:32" ht="15" customHeight="1" thickBot="1">
      <c r="A219" s="108"/>
      <c r="B219" s="112" t="s">
        <v>60</v>
      </c>
      <c r="C219" s="16" t="s">
        <v>13</v>
      </c>
      <c r="D219" s="64">
        <v>0.76810499235662122</v>
      </c>
      <c r="E219" s="56"/>
      <c r="F219" s="64">
        <v>0.31957508218228226</v>
      </c>
      <c r="G219" s="64">
        <v>0.24481724862339693</v>
      </c>
      <c r="H219" s="49">
        <v>0.18410115845967495</v>
      </c>
      <c r="I219" s="61">
        <v>0</v>
      </c>
      <c r="J219" s="65">
        <v>0.73263476528309357</v>
      </c>
      <c r="K219" s="65">
        <v>0.18385826362684057</v>
      </c>
      <c r="L219" s="56"/>
      <c r="M219" s="56"/>
      <c r="N219" s="56"/>
      <c r="O219" s="56"/>
      <c r="Q219" s="12"/>
      <c r="R219" s="108"/>
      <c r="S219" s="112" t="s">
        <v>60</v>
      </c>
      <c r="T219" s="64" t="s">
        <v>13</v>
      </c>
      <c r="U219" s="64">
        <v>0.71587854712534127</v>
      </c>
      <c r="V219" s="56"/>
      <c r="W219" s="64">
        <v>4.494118745916529E-2</v>
      </c>
      <c r="X219" s="64">
        <v>0.55189372942148229</v>
      </c>
      <c r="Y219" s="64">
        <v>1.0273788059652258E-2</v>
      </c>
      <c r="Z219" s="56"/>
      <c r="AA219" s="64">
        <v>1.7094223479578571E-3</v>
      </c>
      <c r="AB219" s="64">
        <v>2.7985745688155282E-2</v>
      </c>
      <c r="AC219" s="56"/>
      <c r="AD219" s="56"/>
      <c r="AE219" s="56"/>
      <c r="AF219" s="56"/>
    </row>
    <row r="220" spans="1:32" ht="15" customHeight="1" thickBot="1">
      <c r="A220" s="109"/>
      <c r="B220" s="112"/>
      <c r="C220" s="16" t="s">
        <v>14</v>
      </c>
      <c r="D220" s="64" t="s">
        <v>112</v>
      </c>
      <c r="E220" s="56" t="s">
        <v>110</v>
      </c>
      <c r="F220" s="64">
        <v>3.9962240968980954E-2</v>
      </c>
      <c r="G220" s="64">
        <v>1.6517125661927666E-2</v>
      </c>
      <c r="H220" s="64">
        <v>8.3050982053628208E-3</v>
      </c>
      <c r="I220" s="56">
        <v>0</v>
      </c>
      <c r="J220" s="64">
        <v>0.40939752407634544</v>
      </c>
      <c r="K220" s="64">
        <v>1.3904386378574895E-2</v>
      </c>
      <c r="L220" s="56"/>
      <c r="M220" s="56"/>
      <c r="N220" s="56"/>
      <c r="O220" s="56"/>
      <c r="Q220" s="12"/>
      <c r="R220" s="109"/>
      <c r="S220" s="112"/>
      <c r="T220" s="64" t="s">
        <v>14</v>
      </c>
      <c r="U220" s="64">
        <v>5.0451218163829345E-2</v>
      </c>
      <c r="V220" s="56"/>
      <c r="W220" s="64">
        <v>4.6304698387091686E-4</v>
      </c>
      <c r="X220" s="64">
        <v>4.0614748495593406E-2</v>
      </c>
      <c r="Y220" s="64">
        <v>9.3174289547153096E-4</v>
      </c>
      <c r="Z220" s="56"/>
      <c r="AA220" s="64">
        <v>1.3146859696767487E-5</v>
      </c>
      <c r="AB220" s="64">
        <v>3.3181365961320149E-4</v>
      </c>
      <c r="AC220" s="56"/>
      <c r="AD220" s="56"/>
      <c r="AE220" s="56"/>
      <c r="AF220" s="56"/>
    </row>
    <row r="221" spans="1:32">
      <c r="A221" s="5"/>
      <c r="D221" s="49">
        <v>0</v>
      </c>
      <c r="E221" s="49">
        <v>0</v>
      </c>
      <c r="Q221" s="12"/>
    </row>
    <row r="222" spans="1:32" ht="14.25" thickBot="1">
      <c r="A222" s="17"/>
      <c r="Q222" s="12"/>
    </row>
    <row r="223" spans="1:32" s="2" customFormat="1" ht="19.5" thickBot="1">
      <c r="A223" s="99" t="s">
        <v>26</v>
      </c>
      <c r="B223" s="100"/>
      <c r="C223" s="101"/>
      <c r="D223" s="102" t="s">
        <v>77</v>
      </c>
      <c r="E223" s="103"/>
      <c r="F223" s="103"/>
      <c r="G223" s="104"/>
      <c r="H223" s="105" t="s">
        <v>78</v>
      </c>
      <c r="I223" s="103"/>
      <c r="J223" s="103"/>
      <c r="K223" s="104"/>
      <c r="L223" s="105" t="s">
        <v>79</v>
      </c>
      <c r="M223" s="103"/>
      <c r="N223" s="103"/>
      <c r="O223" s="106"/>
      <c r="Q223" s="11"/>
      <c r="R223" s="99" t="s">
        <v>19</v>
      </c>
      <c r="S223" s="100"/>
      <c r="T223" s="101"/>
      <c r="U223" s="102" t="s">
        <v>77</v>
      </c>
      <c r="V223" s="103"/>
      <c r="W223" s="103"/>
      <c r="X223" s="104"/>
      <c r="Y223" s="102" t="s">
        <v>78</v>
      </c>
      <c r="Z223" s="103"/>
      <c r="AA223" s="103"/>
      <c r="AB223" s="104"/>
      <c r="AC223" s="102" t="s">
        <v>79</v>
      </c>
      <c r="AD223" s="103"/>
      <c r="AE223" s="103"/>
      <c r="AF223" s="104"/>
    </row>
    <row r="224" spans="1:32" s="2" customFormat="1" ht="15.75" thickBot="1">
      <c r="A224" s="7" t="s">
        <v>6</v>
      </c>
      <c r="B224" s="76" t="s">
        <v>7</v>
      </c>
      <c r="C224" s="8" t="s">
        <v>8</v>
      </c>
      <c r="D224" s="55" t="s">
        <v>9</v>
      </c>
      <c r="E224" s="55" t="s">
        <v>10</v>
      </c>
      <c r="F224" s="55" t="s">
        <v>11</v>
      </c>
      <c r="G224" s="55" t="s">
        <v>12</v>
      </c>
      <c r="H224" s="55" t="s">
        <v>9</v>
      </c>
      <c r="I224" s="55" t="s">
        <v>10</v>
      </c>
      <c r="J224" s="55" t="s">
        <v>11</v>
      </c>
      <c r="K224" s="55" t="s">
        <v>12</v>
      </c>
      <c r="L224" s="55" t="s">
        <v>9</v>
      </c>
      <c r="M224" s="55" t="s">
        <v>10</v>
      </c>
      <c r="N224" s="55" t="s">
        <v>11</v>
      </c>
      <c r="O224" s="55" t="s">
        <v>12</v>
      </c>
      <c r="Q224" s="11"/>
      <c r="R224" s="7" t="s">
        <v>6</v>
      </c>
      <c r="S224" s="76" t="s">
        <v>7</v>
      </c>
      <c r="T224" s="76" t="s">
        <v>8</v>
      </c>
      <c r="U224" s="55" t="s">
        <v>9</v>
      </c>
      <c r="V224" s="55" t="s">
        <v>10</v>
      </c>
      <c r="W224" s="55" t="s">
        <v>11</v>
      </c>
      <c r="X224" s="55" t="s">
        <v>12</v>
      </c>
      <c r="Y224" s="55" t="s">
        <v>9</v>
      </c>
      <c r="Z224" s="55" t="s">
        <v>10</v>
      </c>
      <c r="AA224" s="55" t="s">
        <v>11</v>
      </c>
      <c r="AB224" s="55" t="s">
        <v>12</v>
      </c>
      <c r="AC224" s="55" t="s">
        <v>9</v>
      </c>
      <c r="AD224" s="55" t="s">
        <v>10</v>
      </c>
      <c r="AE224" s="55" t="s">
        <v>11</v>
      </c>
      <c r="AF224" s="55" t="s">
        <v>12</v>
      </c>
    </row>
    <row r="225" spans="1:32" s="2" customFormat="1" ht="15.75" thickBot="1">
      <c r="A225" s="107" t="s">
        <v>42</v>
      </c>
      <c r="B225" s="107" t="s">
        <v>51</v>
      </c>
      <c r="C225" s="9" t="s">
        <v>13</v>
      </c>
      <c r="D225" s="56">
        <v>-55550.61056666635</v>
      </c>
      <c r="E225" s="56"/>
      <c r="F225" s="56">
        <v>-261036.89193333313</v>
      </c>
      <c r="G225" s="56">
        <v>-118656.40686666593</v>
      </c>
      <c r="H225" s="56">
        <v>-106300.14669999946</v>
      </c>
      <c r="I225" s="56"/>
      <c r="J225" s="56">
        <v>-82622.760966667905</v>
      </c>
      <c r="K225" s="56">
        <v>-511306.14846666716</v>
      </c>
      <c r="L225" s="56"/>
      <c r="M225" s="56"/>
      <c r="N225" s="56"/>
      <c r="O225" s="56"/>
      <c r="Q225" s="11"/>
      <c r="R225" s="107" t="s">
        <v>2</v>
      </c>
      <c r="S225" s="107" t="s">
        <v>51</v>
      </c>
      <c r="T225" s="58" t="s">
        <v>13</v>
      </c>
      <c r="U225" s="68">
        <v>-1.552064500000002E-3</v>
      </c>
      <c r="V225" s="56"/>
      <c r="W225" s="68">
        <v>-5.9602646666666731E-3</v>
      </c>
      <c r="X225" s="68">
        <v>-4.4178993666666652E-3</v>
      </c>
      <c r="Y225" s="68">
        <v>-8.0228376666666504E-4</v>
      </c>
      <c r="Z225" s="56"/>
      <c r="AA225" s="68">
        <v>-1.8917413333333355E-3</v>
      </c>
      <c r="AB225" s="68">
        <v>-7.1966236666666863E-4</v>
      </c>
      <c r="AC225" s="56"/>
      <c r="AD225" s="56"/>
      <c r="AE225" s="56"/>
      <c r="AF225" s="56"/>
    </row>
    <row r="226" spans="1:32" s="2" customFormat="1" ht="15.75" thickBot="1">
      <c r="A226" s="108"/>
      <c r="B226" s="109"/>
      <c r="C226" s="9" t="s">
        <v>14</v>
      </c>
      <c r="D226" s="56">
        <v>-231602.72754999995</v>
      </c>
      <c r="E226" s="56"/>
      <c r="F226" s="56">
        <v>-506829.75798333343</v>
      </c>
      <c r="G226" s="56">
        <v>-503198.93043333292</v>
      </c>
      <c r="H226" s="56">
        <v>-198116.25936666597</v>
      </c>
      <c r="I226" s="56"/>
      <c r="J226" s="56">
        <v>-94103.980866666883</v>
      </c>
      <c r="K226" s="56">
        <v>-461817.34428333491</v>
      </c>
      <c r="L226" s="56"/>
      <c r="M226" s="56"/>
      <c r="N226" s="56"/>
      <c r="O226" s="56"/>
      <c r="Q226" s="11"/>
      <c r="R226" s="108"/>
      <c r="S226" s="109"/>
      <c r="T226" s="58" t="s">
        <v>14</v>
      </c>
      <c r="U226" s="68">
        <v>-2.352753566666671E-3</v>
      </c>
      <c r="V226" s="56"/>
      <c r="W226" s="68">
        <v>-8.4775572333333424E-3</v>
      </c>
      <c r="X226" s="68">
        <v>-5.6666641833333399E-3</v>
      </c>
      <c r="Y226" s="68">
        <v>-1.2668817666666686E-3</v>
      </c>
      <c r="Z226" s="56"/>
      <c r="AA226" s="68">
        <v>-2.3661487000000078E-3</v>
      </c>
      <c r="AB226" s="68">
        <v>-8.7212985000000021E-4</v>
      </c>
      <c r="AC226" s="56"/>
      <c r="AD226" s="56"/>
      <c r="AE226" s="56"/>
      <c r="AF226" s="56"/>
    </row>
    <row r="227" spans="1:32" s="2" customFormat="1" ht="15.75" thickBot="1">
      <c r="A227" s="108"/>
      <c r="B227" s="110" t="s">
        <v>15</v>
      </c>
      <c r="C227" s="9" t="s">
        <v>13</v>
      </c>
      <c r="D227" s="68">
        <v>-1.2366736737887282E-2</v>
      </c>
      <c r="E227" s="56"/>
      <c r="F227" s="68">
        <v>-5.1488286117642806E-2</v>
      </c>
      <c r="G227" s="68">
        <v>-1.240946263600815E-2</v>
      </c>
      <c r="H227" s="68">
        <v>-2.3163187890891754E-2</v>
      </c>
      <c r="I227" s="56"/>
      <c r="J227" s="68">
        <v>-1.6780994882191261E-2</v>
      </c>
      <c r="K227" s="68">
        <v>-5.3749415361684871E-2</v>
      </c>
      <c r="L227" s="56"/>
      <c r="M227" s="56"/>
      <c r="N227" s="56"/>
      <c r="O227" s="56"/>
      <c r="Q227" s="11"/>
      <c r="R227" s="108"/>
      <c r="S227" s="110" t="s">
        <v>15</v>
      </c>
      <c r="T227" s="58" t="s">
        <v>13</v>
      </c>
      <c r="U227" s="68">
        <v>-6.2473893646002837E-2</v>
      </c>
      <c r="V227" s="56"/>
      <c r="W227" s="68">
        <v>-0.11863097988067865</v>
      </c>
      <c r="X227" s="68">
        <v>-0.15562589456691867</v>
      </c>
      <c r="Y227" s="68">
        <v>-3.2623124472599699E-2</v>
      </c>
      <c r="Z227" s="56"/>
      <c r="AA227" s="68">
        <v>-3.9250106781493155E-2</v>
      </c>
      <c r="AB227" s="68">
        <v>-2.6087788087102014E-2</v>
      </c>
      <c r="AC227" s="56"/>
      <c r="AD227" s="56"/>
      <c r="AE227" s="56"/>
      <c r="AF227" s="56"/>
    </row>
    <row r="228" spans="1:32" s="2" customFormat="1" ht="15.75" thickBot="1">
      <c r="A228" s="108"/>
      <c r="B228" s="111"/>
      <c r="C228" s="9" t="s">
        <v>14</v>
      </c>
      <c r="D228" s="68">
        <v>-5.1876152941013956E-2</v>
      </c>
      <c r="E228" s="56"/>
      <c r="F228" s="68">
        <v>-0.10153543454400754</v>
      </c>
      <c r="G228" s="68">
        <v>-5.321373206610399E-2</v>
      </c>
      <c r="H228" s="68">
        <v>-4.3394463647962726E-2</v>
      </c>
      <c r="I228" s="56"/>
      <c r="J228" s="68">
        <v>-1.9103260808297017E-2</v>
      </c>
      <c r="K228" s="68">
        <v>-4.8655670087542846E-2</v>
      </c>
      <c r="L228" s="56"/>
      <c r="M228" s="56"/>
      <c r="N228" s="56"/>
      <c r="O228" s="56"/>
      <c r="Q228" s="11"/>
      <c r="R228" s="108"/>
      <c r="S228" s="111"/>
      <c r="T228" s="58" t="s">
        <v>14</v>
      </c>
      <c r="U228" s="68">
        <v>-9.4659380435435869E-2</v>
      </c>
      <c r="V228" s="56"/>
      <c r="W228" s="68">
        <v>-0.17222807105043644</v>
      </c>
      <c r="X228" s="68">
        <v>-0.20067009581988907</v>
      </c>
      <c r="Y228" s="68">
        <v>-5.1815368150040064E-2</v>
      </c>
      <c r="Z228" s="56"/>
      <c r="AA228" s="68">
        <v>-4.9459063453363671E-2</v>
      </c>
      <c r="AB228" s="68">
        <v>-3.1713452962174225E-2</v>
      </c>
      <c r="AC228" s="56"/>
      <c r="AD228" s="56"/>
      <c r="AE228" s="56"/>
      <c r="AF228" s="56"/>
    </row>
    <row r="229" spans="1:32" s="2" customFormat="1" ht="15.75" thickBot="1">
      <c r="A229" s="108"/>
      <c r="B229" s="110" t="s">
        <v>16</v>
      </c>
      <c r="C229" s="9" t="s">
        <v>13</v>
      </c>
      <c r="D229" s="58" t="s">
        <v>103</v>
      </c>
      <c r="E229" s="56"/>
      <c r="F229" s="58" t="s">
        <v>103</v>
      </c>
      <c r="G229" s="58" t="s">
        <v>103</v>
      </c>
      <c r="H229" s="58" t="s">
        <v>103</v>
      </c>
      <c r="I229" s="56"/>
      <c r="J229" s="58" t="s">
        <v>103</v>
      </c>
      <c r="K229" s="58" t="s">
        <v>103</v>
      </c>
      <c r="L229" s="56"/>
      <c r="M229" s="56"/>
      <c r="N229" s="56"/>
      <c r="O229" s="56"/>
      <c r="Q229" s="11"/>
      <c r="R229" s="108"/>
      <c r="S229" s="110" t="s">
        <v>16</v>
      </c>
      <c r="T229" s="58" t="s">
        <v>13</v>
      </c>
      <c r="U229" s="58" t="s">
        <v>103</v>
      </c>
      <c r="V229" s="56"/>
      <c r="W229" s="58" t="s">
        <v>103</v>
      </c>
      <c r="X229" s="58" t="s">
        <v>103</v>
      </c>
      <c r="Y229" s="58" t="s">
        <v>103</v>
      </c>
      <c r="Z229" s="56"/>
      <c r="AA229" s="58" t="s">
        <v>103</v>
      </c>
      <c r="AB229" s="58" t="s">
        <v>103</v>
      </c>
      <c r="AC229" s="56"/>
      <c r="AD229" s="56"/>
      <c r="AE229" s="56"/>
      <c r="AF229" s="56"/>
    </row>
    <row r="230" spans="1:32" s="2" customFormat="1" ht="15.75" thickBot="1">
      <c r="A230" s="108"/>
      <c r="B230" s="111"/>
      <c r="C230" s="9" t="s">
        <v>14</v>
      </c>
      <c r="D230" s="58" t="s">
        <v>103</v>
      </c>
      <c r="E230" s="56"/>
      <c r="F230" s="58" t="s">
        <v>103</v>
      </c>
      <c r="G230" s="58" t="s">
        <v>103</v>
      </c>
      <c r="H230" s="58" t="s">
        <v>103</v>
      </c>
      <c r="I230" s="56"/>
      <c r="J230" s="58" t="s">
        <v>103</v>
      </c>
      <c r="K230" s="58" t="s">
        <v>103</v>
      </c>
      <c r="L230" s="56"/>
      <c r="M230" s="56"/>
      <c r="N230" s="56"/>
      <c r="O230" s="56"/>
      <c r="Q230" s="11"/>
      <c r="R230" s="108"/>
      <c r="S230" s="111"/>
      <c r="T230" s="58" t="s">
        <v>14</v>
      </c>
      <c r="U230" s="58" t="s">
        <v>103</v>
      </c>
      <c r="V230" s="56"/>
      <c r="W230" s="58" t="s">
        <v>103</v>
      </c>
      <c r="X230" s="58" t="s">
        <v>103</v>
      </c>
      <c r="Y230" s="58" t="s">
        <v>103</v>
      </c>
      <c r="Z230" s="56"/>
      <c r="AA230" s="58" t="s">
        <v>103</v>
      </c>
      <c r="AB230" s="58" t="s">
        <v>103</v>
      </c>
      <c r="AC230" s="56"/>
      <c r="AD230" s="56"/>
      <c r="AE230" s="56"/>
      <c r="AF230" s="56"/>
    </row>
    <row r="231" spans="1:32" s="2" customFormat="1" ht="15.75" customHeight="1" thickBot="1">
      <c r="A231" s="108"/>
      <c r="B231" s="112" t="s">
        <v>63</v>
      </c>
      <c r="C231" s="16" t="s">
        <v>13</v>
      </c>
      <c r="D231" s="56" t="s">
        <v>105</v>
      </c>
      <c r="E231" s="56"/>
      <c r="F231" s="56" t="s">
        <v>105</v>
      </c>
      <c r="G231" s="56" t="s">
        <v>105</v>
      </c>
      <c r="H231" s="56" t="s">
        <v>105</v>
      </c>
      <c r="I231" s="56"/>
      <c r="J231" s="56" t="s">
        <v>105</v>
      </c>
      <c r="K231" s="56" t="s">
        <v>105</v>
      </c>
      <c r="L231" s="56"/>
      <c r="M231" s="56"/>
      <c r="N231" s="56"/>
      <c r="O231" s="56"/>
      <c r="Q231" s="11"/>
      <c r="R231" s="108"/>
      <c r="S231" s="112" t="s">
        <v>63</v>
      </c>
      <c r="T231" s="64" t="s">
        <v>13</v>
      </c>
      <c r="U231" s="56" t="s">
        <v>107</v>
      </c>
      <c r="V231" s="56"/>
      <c r="W231" s="56" t="s">
        <v>107</v>
      </c>
      <c r="X231" s="56" t="s">
        <v>107</v>
      </c>
      <c r="Y231" s="56" t="s">
        <v>107</v>
      </c>
      <c r="Z231" s="56"/>
      <c r="AA231" s="56" t="s">
        <v>107</v>
      </c>
      <c r="AB231" s="56" t="s">
        <v>107</v>
      </c>
      <c r="AC231" s="56"/>
      <c r="AD231" s="56"/>
      <c r="AE231" s="56"/>
      <c r="AF231" s="56"/>
    </row>
    <row r="232" spans="1:32" ht="15.75" thickBot="1">
      <c r="A232" s="108"/>
      <c r="B232" s="112"/>
      <c r="C232" s="16" t="s">
        <v>14</v>
      </c>
      <c r="D232" s="56" t="s">
        <v>107</v>
      </c>
      <c r="E232" s="56"/>
      <c r="F232" s="56" t="s">
        <v>107</v>
      </c>
      <c r="G232" s="56" t="s">
        <v>107</v>
      </c>
      <c r="H232" s="56" t="s">
        <v>107</v>
      </c>
      <c r="I232" s="56"/>
      <c r="J232" s="56" t="s">
        <v>105</v>
      </c>
      <c r="K232" s="56" t="s">
        <v>107</v>
      </c>
      <c r="L232" s="56"/>
      <c r="M232" s="56"/>
      <c r="N232" s="56"/>
      <c r="O232" s="56"/>
      <c r="Q232" s="12"/>
      <c r="R232" s="108"/>
      <c r="S232" s="112"/>
      <c r="T232" s="64" t="s">
        <v>14</v>
      </c>
      <c r="U232" s="56" t="s">
        <v>107</v>
      </c>
      <c r="V232" s="56"/>
      <c r="W232" s="56" t="s">
        <v>107</v>
      </c>
      <c r="X232" s="56" t="s">
        <v>107</v>
      </c>
      <c r="Y232" s="56" t="s">
        <v>107</v>
      </c>
      <c r="Z232" s="56"/>
      <c r="AA232" s="56" t="s">
        <v>107</v>
      </c>
      <c r="AB232" s="56" t="s">
        <v>107</v>
      </c>
      <c r="AC232" s="56"/>
      <c r="AD232" s="56"/>
      <c r="AE232" s="56"/>
      <c r="AF232" s="56"/>
    </row>
    <row r="233" spans="1:32" ht="15" customHeight="1" thickBot="1">
      <c r="A233" s="108"/>
      <c r="B233" s="112" t="s">
        <v>60</v>
      </c>
      <c r="C233" s="16" t="s">
        <v>13</v>
      </c>
      <c r="D233" s="71">
        <v>0.58079080414652662</v>
      </c>
      <c r="E233" s="56"/>
      <c r="F233" s="71">
        <v>0.67678696961135354</v>
      </c>
      <c r="G233" s="71">
        <v>0.77980618489335773</v>
      </c>
      <c r="H233" s="71">
        <v>0.37755164156602694</v>
      </c>
      <c r="I233" s="56"/>
      <c r="J233" s="71">
        <v>0.87284491833161926</v>
      </c>
      <c r="K233" s="71">
        <v>0.26144708644748449</v>
      </c>
      <c r="L233" s="56"/>
      <c r="M233" s="56"/>
      <c r="N233" s="56"/>
      <c r="O233" s="56"/>
      <c r="Q233" s="12"/>
      <c r="R233" s="108"/>
      <c r="S233" s="112" t="s">
        <v>60</v>
      </c>
      <c r="T233" s="64" t="s">
        <v>13</v>
      </c>
      <c r="U233" s="82">
        <v>9.8003385971275336E-2</v>
      </c>
      <c r="V233" s="56"/>
      <c r="W233" s="82">
        <v>7.9702598534274634E-4</v>
      </c>
      <c r="X233" s="82">
        <v>5.0212943360451474E-3</v>
      </c>
      <c r="Y233" s="82">
        <v>7.2728557915357442E-2</v>
      </c>
      <c r="Z233" s="56"/>
      <c r="AA233" s="82">
        <v>1.6617438350893333E-2</v>
      </c>
      <c r="AB233" s="82">
        <v>0.21416546705934908</v>
      </c>
      <c r="AC233" s="56"/>
      <c r="AD233" s="56"/>
      <c r="AE233" s="56"/>
      <c r="AF233" s="56"/>
    </row>
    <row r="234" spans="1:32" ht="15" customHeight="1" thickBot="1">
      <c r="A234" s="109"/>
      <c r="B234" s="112"/>
      <c r="C234" s="16" t="s">
        <v>14</v>
      </c>
      <c r="D234" s="71">
        <v>6.7057486614232609E-2</v>
      </c>
      <c r="E234" s="56"/>
      <c r="F234" s="71">
        <v>0.20309227467390789</v>
      </c>
      <c r="G234" s="71">
        <v>0.13010870851272757</v>
      </c>
      <c r="H234" s="71">
        <v>6.4609437254979266E-2</v>
      </c>
      <c r="I234" s="56"/>
      <c r="J234" s="71">
        <v>0.76212534133029375</v>
      </c>
      <c r="K234" s="71">
        <v>0.15612838249963501</v>
      </c>
      <c r="L234" s="56"/>
      <c r="M234" s="56"/>
      <c r="N234" s="56"/>
      <c r="O234" s="56"/>
      <c r="Q234" s="12"/>
      <c r="R234" s="109"/>
      <c r="S234" s="112"/>
      <c r="T234" s="64" t="s">
        <v>14</v>
      </c>
      <c r="U234" s="82">
        <v>9.6856952829611038E-4</v>
      </c>
      <c r="V234" s="56"/>
      <c r="W234" s="82">
        <v>3.2891497862120047E-6</v>
      </c>
      <c r="X234" s="82">
        <v>8.3999806819967187E-6</v>
      </c>
      <c r="Y234" s="82">
        <v>3.166977941891168E-3</v>
      </c>
      <c r="Z234" s="56"/>
      <c r="AA234" s="82">
        <v>8.0427424450893399E-5</v>
      </c>
      <c r="AB234" s="82">
        <v>4.7791464899115937E-3</v>
      </c>
      <c r="AC234" s="56"/>
      <c r="AD234" s="56"/>
      <c r="AE234" s="56"/>
      <c r="AF234" s="56"/>
    </row>
    <row r="235" spans="1:32">
      <c r="Q235" s="12"/>
    </row>
    <row r="236" spans="1:32">
      <c r="Q236" s="12"/>
    </row>
    <row r="237" spans="1:32">
      <c r="Q237" s="12"/>
    </row>
    <row r="238" spans="1:32">
      <c r="D238" s="49">
        <f>(229-33)/14</f>
        <v>14</v>
      </c>
      <c r="Q238" s="12"/>
    </row>
    <row r="239" spans="1:32">
      <c r="Q239" s="12"/>
    </row>
    <row r="240" spans="1:32">
      <c r="Q240" s="12"/>
    </row>
    <row r="241" spans="17:17">
      <c r="Q241" s="12"/>
    </row>
    <row r="242" spans="17:17">
      <c r="Q242" s="12"/>
    </row>
    <row r="243" spans="17:17">
      <c r="Q243" s="12"/>
    </row>
    <row r="244" spans="17:17">
      <c r="Q244" s="12"/>
    </row>
  </sheetData>
  <mergeCells count="294">
    <mergeCell ref="B215:B216"/>
    <mergeCell ref="S163:S164"/>
    <mergeCell ref="R155:R164"/>
    <mergeCell ref="S141:S142"/>
    <mergeCell ref="S143:S144"/>
    <mergeCell ref="S145:S146"/>
    <mergeCell ref="B219:B220"/>
    <mergeCell ref="A211:A220"/>
    <mergeCell ref="S219:S220"/>
    <mergeCell ref="R211:R220"/>
    <mergeCell ref="B177:B178"/>
    <mergeCell ref="A169:A178"/>
    <mergeCell ref="S177:S178"/>
    <mergeCell ref="R169:R178"/>
    <mergeCell ref="B191:B192"/>
    <mergeCell ref="A183:A192"/>
    <mergeCell ref="S191:S192"/>
    <mergeCell ref="R183:R192"/>
    <mergeCell ref="B205:B206"/>
    <mergeCell ref="A197:A206"/>
    <mergeCell ref="S205:S206"/>
    <mergeCell ref="R197:R206"/>
    <mergeCell ref="R181:T181"/>
    <mergeCell ref="R209:T209"/>
    <mergeCell ref="A69:C69"/>
    <mergeCell ref="D69:G69"/>
    <mergeCell ref="H69:K69"/>
    <mergeCell ref="L69:O69"/>
    <mergeCell ref="B71:B72"/>
    <mergeCell ref="R127:R136"/>
    <mergeCell ref="B149:B150"/>
    <mergeCell ref="A141:A150"/>
    <mergeCell ref="S149:S150"/>
    <mergeCell ref="R141:R150"/>
    <mergeCell ref="A71:A80"/>
    <mergeCell ref="S79:S80"/>
    <mergeCell ref="R71:R80"/>
    <mergeCell ref="B107:B108"/>
    <mergeCell ref="A99:A108"/>
    <mergeCell ref="S107:S108"/>
    <mergeCell ref="R99:R108"/>
    <mergeCell ref="S73:S74"/>
    <mergeCell ref="S75:S76"/>
    <mergeCell ref="B105:B106"/>
    <mergeCell ref="S105:S106"/>
    <mergeCell ref="A97:C97"/>
    <mergeCell ref="D97:G97"/>
    <mergeCell ref="H97:K97"/>
    <mergeCell ref="L97:O97"/>
    <mergeCell ref="B37:B38"/>
    <mergeCell ref="A29:A38"/>
    <mergeCell ref="S37:S38"/>
    <mergeCell ref="R29:R38"/>
    <mergeCell ref="AC139:AF139"/>
    <mergeCell ref="R139:T139"/>
    <mergeCell ref="U139:X139"/>
    <mergeCell ref="Y139:AB139"/>
    <mergeCell ref="AC97:AF97"/>
    <mergeCell ref="U41:X41"/>
    <mergeCell ref="Y41:AB41"/>
    <mergeCell ref="AC41:AF41"/>
    <mergeCell ref="S43:S44"/>
    <mergeCell ref="S45:S46"/>
    <mergeCell ref="S47:S48"/>
    <mergeCell ref="R69:T69"/>
    <mergeCell ref="U69:X69"/>
    <mergeCell ref="Y69:AB69"/>
    <mergeCell ref="AC69:AF69"/>
    <mergeCell ref="S71:S72"/>
    <mergeCell ref="A43:A52"/>
    <mergeCell ref="S51:S52"/>
    <mergeCell ref="R43:R52"/>
    <mergeCell ref="B79:B80"/>
    <mergeCell ref="B103:B104"/>
    <mergeCell ref="R97:T97"/>
    <mergeCell ref="U97:X97"/>
    <mergeCell ref="Y97:AB97"/>
    <mergeCell ref="B169:B170"/>
    <mergeCell ref="B171:B172"/>
    <mergeCell ref="B173:B174"/>
    <mergeCell ref="R167:T167"/>
    <mergeCell ref="S99:S100"/>
    <mergeCell ref="S101:S102"/>
    <mergeCell ref="S103:S104"/>
    <mergeCell ref="B135:B136"/>
    <mergeCell ref="B145:B146"/>
    <mergeCell ref="L139:O139"/>
    <mergeCell ref="A167:C167"/>
    <mergeCell ref="D167:G167"/>
    <mergeCell ref="S159:S160"/>
    <mergeCell ref="H167:K167"/>
    <mergeCell ref="U125:X125"/>
    <mergeCell ref="Y125:AB125"/>
    <mergeCell ref="A127:A136"/>
    <mergeCell ref="S135:S136"/>
    <mergeCell ref="B163:B164"/>
    <mergeCell ref="A155:A164"/>
    <mergeCell ref="U167:X167"/>
    <mergeCell ref="Y167:AB167"/>
    <mergeCell ref="L167:O167"/>
    <mergeCell ref="U181:X181"/>
    <mergeCell ref="Y181:AB181"/>
    <mergeCell ref="U195:X195"/>
    <mergeCell ref="B175:B176"/>
    <mergeCell ref="S175:S176"/>
    <mergeCell ref="S185:S186"/>
    <mergeCell ref="S187:S188"/>
    <mergeCell ref="A181:C181"/>
    <mergeCell ref="D181:G181"/>
    <mergeCell ref="H181:K181"/>
    <mergeCell ref="S183:S184"/>
    <mergeCell ref="Y27:AB27"/>
    <mergeCell ref="AC27:AF27"/>
    <mergeCell ref="A27:C27"/>
    <mergeCell ref="D27:G27"/>
    <mergeCell ref="H27:K27"/>
    <mergeCell ref="L27:O27"/>
    <mergeCell ref="R27:T27"/>
    <mergeCell ref="B29:B30"/>
    <mergeCell ref="B31:B32"/>
    <mergeCell ref="S29:S30"/>
    <mergeCell ref="S31:S32"/>
    <mergeCell ref="U27:X27"/>
    <mergeCell ref="AC125:AF125"/>
    <mergeCell ref="S127:S128"/>
    <mergeCell ref="S129:S130"/>
    <mergeCell ref="S131:S132"/>
    <mergeCell ref="S197:S198"/>
    <mergeCell ref="A125:C125"/>
    <mergeCell ref="D125:G125"/>
    <mergeCell ref="H125:K125"/>
    <mergeCell ref="L125:O125"/>
    <mergeCell ref="B127:B128"/>
    <mergeCell ref="B129:B130"/>
    <mergeCell ref="B131:B132"/>
    <mergeCell ref="R125:T125"/>
    <mergeCell ref="AC167:AF167"/>
    <mergeCell ref="S169:S170"/>
    <mergeCell ref="S171:S172"/>
    <mergeCell ref="S173:S174"/>
    <mergeCell ref="U153:X153"/>
    <mergeCell ref="Y153:AB153"/>
    <mergeCell ref="AC153:AF153"/>
    <mergeCell ref="A153:C153"/>
    <mergeCell ref="D153:G153"/>
    <mergeCell ref="Y195:AB195"/>
    <mergeCell ref="A195:C195"/>
    <mergeCell ref="AC209:AF209"/>
    <mergeCell ref="AC195:AF195"/>
    <mergeCell ref="AC181:AF181"/>
    <mergeCell ref="B189:B190"/>
    <mergeCell ref="S189:S190"/>
    <mergeCell ref="B203:B204"/>
    <mergeCell ref="S203:S204"/>
    <mergeCell ref="B185:B186"/>
    <mergeCell ref="B187:B188"/>
    <mergeCell ref="R195:T195"/>
    <mergeCell ref="U209:X209"/>
    <mergeCell ref="Y209:AB209"/>
    <mergeCell ref="A209:C209"/>
    <mergeCell ref="D209:G209"/>
    <mergeCell ref="H209:K209"/>
    <mergeCell ref="B183:B184"/>
    <mergeCell ref="D195:G195"/>
    <mergeCell ref="H195:K195"/>
    <mergeCell ref="B201:B202"/>
    <mergeCell ref="B35:B36"/>
    <mergeCell ref="S35:S36"/>
    <mergeCell ref="S211:S212"/>
    <mergeCell ref="B211:B212"/>
    <mergeCell ref="B197:B198"/>
    <mergeCell ref="L181:O181"/>
    <mergeCell ref="L195:O195"/>
    <mergeCell ref="L209:O209"/>
    <mergeCell ref="B33:B34"/>
    <mergeCell ref="S33:S34"/>
    <mergeCell ref="B43:B44"/>
    <mergeCell ref="B45:B46"/>
    <mergeCell ref="B47:B48"/>
    <mergeCell ref="R41:T41"/>
    <mergeCell ref="A41:C41"/>
    <mergeCell ref="D41:G41"/>
    <mergeCell ref="H41:K41"/>
    <mergeCell ref="L41:O41"/>
    <mergeCell ref="B49:B50"/>
    <mergeCell ref="S49:S50"/>
    <mergeCell ref="B77:B78"/>
    <mergeCell ref="S77:S78"/>
    <mergeCell ref="B99:B100"/>
    <mergeCell ref="B101:B102"/>
    <mergeCell ref="B73:B74"/>
    <mergeCell ref="B75:B76"/>
    <mergeCell ref="B51:B52"/>
    <mergeCell ref="B217:B218"/>
    <mergeCell ref="S217:S218"/>
    <mergeCell ref="B133:B134"/>
    <mergeCell ref="S133:S134"/>
    <mergeCell ref="B147:B148"/>
    <mergeCell ref="S147:S148"/>
    <mergeCell ref="B161:B162"/>
    <mergeCell ref="S161:S162"/>
    <mergeCell ref="H153:K153"/>
    <mergeCell ref="L153:O153"/>
    <mergeCell ref="B155:B156"/>
    <mergeCell ref="B157:B158"/>
    <mergeCell ref="B159:B160"/>
    <mergeCell ref="R153:T153"/>
    <mergeCell ref="S155:S156"/>
    <mergeCell ref="S157:S158"/>
    <mergeCell ref="A139:C139"/>
    <mergeCell ref="D139:G139"/>
    <mergeCell ref="H139:K139"/>
    <mergeCell ref="B141:B142"/>
    <mergeCell ref="B143:B144"/>
    <mergeCell ref="A55:C55"/>
    <mergeCell ref="D55:G55"/>
    <mergeCell ref="H55:K55"/>
    <mergeCell ref="L55:O55"/>
    <mergeCell ref="R55:T55"/>
    <mergeCell ref="U55:X55"/>
    <mergeCell ref="Y55:AB55"/>
    <mergeCell ref="AC55:AF55"/>
    <mergeCell ref="A57:A66"/>
    <mergeCell ref="B57:B58"/>
    <mergeCell ref="R57:R66"/>
    <mergeCell ref="S57:S58"/>
    <mergeCell ref="B59:B60"/>
    <mergeCell ref="S59:S60"/>
    <mergeCell ref="B61:B62"/>
    <mergeCell ref="S61:S62"/>
    <mergeCell ref="B63:B64"/>
    <mergeCell ref="S63:S64"/>
    <mergeCell ref="B65:B66"/>
    <mergeCell ref="S65:S66"/>
    <mergeCell ref="A83:C83"/>
    <mergeCell ref="D83:G83"/>
    <mergeCell ref="H83:K83"/>
    <mergeCell ref="L83:O83"/>
    <mergeCell ref="R83:T83"/>
    <mergeCell ref="U83:X83"/>
    <mergeCell ref="Y83:AB83"/>
    <mergeCell ref="AC83:AF83"/>
    <mergeCell ref="A85:A94"/>
    <mergeCell ref="B85:B86"/>
    <mergeCell ref="R85:R94"/>
    <mergeCell ref="S85:S86"/>
    <mergeCell ref="B87:B88"/>
    <mergeCell ref="S87:S88"/>
    <mergeCell ref="B89:B90"/>
    <mergeCell ref="S89:S90"/>
    <mergeCell ref="B91:B92"/>
    <mergeCell ref="S91:S92"/>
    <mergeCell ref="B93:B94"/>
    <mergeCell ref="S93:S94"/>
    <mergeCell ref="A111:C111"/>
    <mergeCell ref="D111:G111"/>
    <mergeCell ref="H111:K111"/>
    <mergeCell ref="L111:O111"/>
    <mergeCell ref="R111:T111"/>
    <mergeCell ref="U111:X111"/>
    <mergeCell ref="Y111:AB111"/>
    <mergeCell ref="AC111:AF111"/>
    <mergeCell ref="A113:A122"/>
    <mergeCell ref="B113:B114"/>
    <mergeCell ref="R113:R122"/>
    <mergeCell ref="S113:S114"/>
    <mergeCell ref="B115:B116"/>
    <mergeCell ref="S115:S116"/>
    <mergeCell ref="B117:B118"/>
    <mergeCell ref="S117:S118"/>
    <mergeCell ref="B119:B120"/>
    <mergeCell ref="S119:S120"/>
    <mergeCell ref="B121:B122"/>
    <mergeCell ref="S121:S122"/>
    <mergeCell ref="A223:C223"/>
    <mergeCell ref="D223:G223"/>
    <mergeCell ref="H223:K223"/>
    <mergeCell ref="L223:O223"/>
    <mergeCell ref="R223:T223"/>
    <mergeCell ref="U223:X223"/>
    <mergeCell ref="Y223:AB223"/>
    <mergeCell ref="AC223:AF223"/>
    <mergeCell ref="A225:A234"/>
    <mergeCell ref="B225:B226"/>
    <mergeCell ref="R225:R234"/>
    <mergeCell ref="S225:S226"/>
    <mergeCell ref="B227:B228"/>
    <mergeCell ref="S227:S228"/>
    <mergeCell ref="B229:B230"/>
    <mergeCell ref="S229:S230"/>
    <mergeCell ref="B231:B232"/>
    <mergeCell ref="S231:S232"/>
    <mergeCell ref="B233:B234"/>
    <mergeCell ref="S233:S234"/>
  </mergeCells>
  <phoneticPr fontId="33" type="noConversion"/>
  <conditionalFormatting sqref="U1:U1048576">
    <cfRule type="expression" dxfId="1" priority="2">
      <formula>"positive"</formula>
    </cfRule>
  </conditionalFormatting>
  <conditionalFormatting sqref="D1:D1048576">
    <cfRule type="cellIs" dxfId="0" priority="1" operator="equal">
      <formula>"pos"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X38"/>
  <sheetViews>
    <sheetView workbookViewId="0">
      <pane ySplit="3" topLeftCell="A4" activePane="bottomLeft" state="frozen"/>
      <selection pane="bottomLeft" activeCell="E27" sqref="E27"/>
    </sheetView>
  </sheetViews>
  <sheetFormatPr defaultRowHeight="13.5"/>
  <cols>
    <col min="1" max="1" width="12" customWidth="1"/>
    <col min="2" max="2" width="12.625" customWidth="1"/>
    <col min="3" max="3" width="10.75" bestFit="1" customWidth="1"/>
    <col min="4" max="4" width="17" bestFit="1" customWidth="1"/>
    <col min="5" max="5" width="17.625" customWidth="1"/>
    <col min="9" max="9" width="12.375" customWidth="1"/>
    <col min="10" max="10" width="11.75" customWidth="1"/>
    <col min="12" max="12" width="6.25" customWidth="1"/>
    <col min="13" max="13" width="6.375" style="12" customWidth="1"/>
    <col min="14" max="14" width="17.75" customWidth="1"/>
    <col min="16" max="17" width="13.625" bestFit="1" customWidth="1"/>
    <col min="23" max="23" width="13.625" bestFit="1" customWidth="1"/>
  </cols>
  <sheetData>
    <row r="1" spans="1:20" ht="18">
      <c r="A1" s="3" t="s">
        <v>93</v>
      </c>
      <c r="M1"/>
    </row>
    <row r="2" spans="1:20">
      <c r="M2"/>
    </row>
    <row r="3" spans="1:20">
      <c r="M3"/>
    </row>
    <row r="4" spans="1:20">
      <c r="A4" s="120" t="s">
        <v>80</v>
      </c>
      <c r="B4" s="120"/>
    </row>
    <row r="6" spans="1:20" ht="14.25" thickBot="1">
      <c r="A6" s="39" t="s">
        <v>81</v>
      </c>
      <c r="N6" s="39" t="s">
        <v>82</v>
      </c>
    </row>
    <row r="7" spans="1:20" ht="14.25" thickBot="1">
      <c r="A7" s="87"/>
      <c r="B7" s="87" t="s">
        <v>83</v>
      </c>
      <c r="C7" s="88" t="s">
        <v>84</v>
      </c>
      <c r="D7" s="89" t="s">
        <v>86</v>
      </c>
      <c r="E7" s="89" t="s">
        <v>85</v>
      </c>
      <c r="N7" s="87"/>
      <c r="O7" s="87" t="s">
        <v>83</v>
      </c>
      <c r="P7" s="88" t="s">
        <v>84</v>
      </c>
      <c r="Q7" s="89" t="s">
        <v>86</v>
      </c>
      <c r="R7" s="89" t="s">
        <v>85</v>
      </c>
    </row>
    <row r="8" spans="1:20" ht="15.75" thickBot="1">
      <c r="A8" s="37" t="s">
        <v>13</v>
      </c>
      <c r="B8" s="4">
        <f>SUMPRODUCT((Results_Summary!C:C="3 month")*(Results_Summary!F:F="negtive"))</f>
        <v>0</v>
      </c>
      <c r="C8" s="34">
        <f>SUMPRODUCT((Results_Summary!C:C="3 month")*(Results_Summary!F:F="positive"))</f>
        <v>0</v>
      </c>
      <c r="D8" s="43">
        <f>SUMPRODUCT((Results_Summary!C:C="3 month")*(Results_Summary!F:F="par"))</f>
        <v>0</v>
      </c>
      <c r="E8" s="42">
        <f>AVERAGE(Results_Summary!F31,Results_Summary!F45,Results_Summary!F59,Results_Summary!F73,Results_Summary!F87,Results_Summary!F101,Results_Summary!F115,Results_Summary!F129,Results_Summary!F143,Results_Summary!F157,Results_Summary!F171,Results_Summary!F185,Results_Summary!F199,Results_Summary!F213,Results_Summary!F227)</f>
        <v>5.9466593366900022E-3</v>
      </c>
      <c r="N8" s="37" t="s">
        <v>13</v>
      </c>
      <c r="O8" s="4">
        <f>SUMPRODUCT((Results_Summary!T:T="3 month")*(Results_Summary!W:W="negtive"))</f>
        <v>0</v>
      </c>
      <c r="P8" s="34">
        <f>SUMPRODUCT((Results_Summary!T:T="3 month")*(Results_Summary!W:W="positive"))</f>
        <v>0</v>
      </c>
      <c r="Q8" s="43">
        <f>SUMPRODUCT((Results_Summary!T:T="3 month")*(Results_Summary!W:W="par"))</f>
        <v>1</v>
      </c>
      <c r="R8" s="42">
        <f>AVERAGE(Results_Summary!W31,Results_Summary!W45,Results_Summary!W59,Results_Summary!W73,Results_Summary!W87,Results_Summary!W101,Results_Summary!W115,Results_Summary!W129,Results_Summary!W143,Results_Summary!W157,Results_Summary!W171,Results_Summary!W185,Results_Summary!W199,Results_Summary!W213,Results_Summary!W227)</f>
        <v>2.3638412598350651E-2</v>
      </c>
    </row>
    <row r="9" spans="1:20" ht="15.75" thickBot="1">
      <c r="A9" s="37" t="s">
        <v>14</v>
      </c>
      <c r="B9" s="34">
        <f>SUMPRODUCT((Results_Summary!C:C="6 month")*(Results_Summary!F:F="negtive"))</f>
        <v>0</v>
      </c>
      <c r="C9" s="34">
        <f>SUMPRODUCT((Results_Summary!C:C="6 month")*(Results_Summary!F:F="positive"))</f>
        <v>0</v>
      </c>
      <c r="D9" s="34">
        <f>SUMPRODUCT((Results_Summary!D:D="6 month")*(Results_Summary!H:H="par"))</f>
        <v>0</v>
      </c>
      <c r="E9" s="41">
        <f>AVERAGE(Results_Summary!F32,Results_Summary!F46,Results_Summary!F60,Results_Summary!F74,Results_Summary!F88,Results_Summary!F102,Results_Summary!F116,Results_Summary!F130,Results_Summary!F144,Results_Summary!F158,Results_Summary!F172,Results_Summary!F186,Results_Summary!F200,Results_Summary!F214,Results_Summary!F228)</f>
        <v>1.8535154856355592E-2</v>
      </c>
      <c r="N9" s="37" t="s">
        <v>14</v>
      </c>
      <c r="O9" s="34">
        <f>SUMPRODUCT((Results_Summary!T:T="6 month")*(Results_Summary!W:W="negtive"))</f>
        <v>0</v>
      </c>
      <c r="P9" s="34">
        <f>SUMPRODUCT((Results_Summary!T:T="6 month")*(Results_Summary!W:W="positive"))</f>
        <v>0</v>
      </c>
      <c r="Q9" s="34">
        <f>SUMPRODUCT((Results_Summary!T:T="6 month")*(Results_Summary!W:W="par"))</f>
        <v>1</v>
      </c>
      <c r="R9" s="41">
        <f>AVERAGE(Results_Summary!W32,Results_Summary!W46,Results_Summary!W60,Results_Summary!W74,Results_Summary!W88,Results_Summary!W102,Results_Summary!W116,Results_Summary!W130,Results_Summary!W144,Results_Summary!W158,Results_Summary!W172,Results_Summary!W186,Results_Summary!W200,Results_Summary!W214,Results_Summary!W228)</f>
        <v>2.6903271549773199E-2</v>
      </c>
    </row>
    <row r="10" spans="1:20">
      <c r="F10" s="4"/>
    </row>
    <row r="14" spans="1:20">
      <c r="A14" s="120" t="s">
        <v>87</v>
      </c>
      <c r="B14" s="120"/>
    </row>
    <row r="16" spans="1:20">
      <c r="A16" s="38" t="s">
        <v>88</v>
      </c>
      <c r="G16" s="38" t="s">
        <v>89</v>
      </c>
      <c r="N16" s="38" t="s">
        <v>88</v>
      </c>
      <c r="T16" s="38" t="s">
        <v>89</v>
      </c>
    </row>
    <row r="17" spans="1:24" ht="14.25" thickBot="1">
      <c r="A17" s="39" t="s">
        <v>81</v>
      </c>
      <c r="G17" s="39" t="s">
        <v>81</v>
      </c>
      <c r="N17" s="39" t="s">
        <v>82</v>
      </c>
      <c r="T17" s="39" t="s">
        <v>82</v>
      </c>
    </row>
    <row r="18" spans="1:24" ht="14.25" thickBot="1">
      <c r="A18" s="87"/>
      <c r="B18" s="87" t="s">
        <v>83</v>
      </c>
      <c r="C18" s="88" t="s">
        <v>84</v>
      </c>
      <c r="D18" s="89" t="s">
        <v>86</v>
      </c>
      <c r="E18" s="89" t="s">
        <v>85</v>
      </c>
      <c r="G18" s="87"/>
      <c r="H18" s="87" t="s">
        <v>83</v>
      </c>
      <c r="I18" s="88" t="s">
        <v>84</v>
      </c>
      <c r="J18" s="89" t="s">
        <v>86</v>
      </c>
      <c r="K18" s="89" t="s">
        <v>85</v>
      </c>
      <c r="L18" s="4"/>
      <c r="N18" s="87"/>
      <c r="O18" s="87" t="s">
        <v>83</v>
      </c>
      <c r="P18" s="88" t="s">
        <v>84</v>
      </c>
      <c r="Q18" s="89" t="s">
        <v>86</v>
      </c>
      <c r="R18" s="89" t="s">
        <v>85</v>
      </c>
      <c r="T18" s="87"/>
      <c r="U18" s="87" t="s">
        <v>83</v>
      </c>
      <c r="V18" s="88" t="s">
        <v>84</v>
      </c>
      <c r="W18" s="89" t="s">
        <v>86</v>
      </c>
      <c r="X18" s="89" t="s">
        <v>85</v>
      </c>
    </row>
    <row r="19" spans="1:24" ht="15.75" thickBot="1">
      <c r="A19" s="37" t="s">
        <v>13</v>
      </c>
      <c r="B19" s="34">
        <f>SUMPRODUCT((Results_Summary!$C$28:$C$94="3 month")*(Results_Summary!$J$28:$J$94="negtive"))</f>
        <v>0</v>
      </c>
      <c r="C19" s="34">
        <f>SUMPRODUCT((Results_Summary!$C$28:$C$94="3 month")*(Results_Summary!$J$28:$J$94="positive"))</f>
        <v>0</v>
      </c>
      <c r="D19" s="43">
        <f>SUMPRODUCT((Results_Summary!$C$28:$C$94="3 month")*(Results_Summary!$J$28:$J$94="par"))</f>
        <v>0</v>
      </c>
      <c r="E19" s="42">
        <f>AVERAGE(Results_Summary!J31,Results_Summary!J45,Results_Summary!J59,Results_Summary!J73,Results_Summary!J87)</f>
        <v>6.8282890995518777E-2</v>
      </c>
      <c r="G19" s="37" t="s">
        <v>13</v>
      </c>
      <c r="H19" s="34">
        <f>SUMPRODUCT((Results_Summary!$C$28:$C$94="3 month")*(Results_Summary!$N$28:$N$94="negtive"))</f>
        <v>0</v>
      </c>
      <c r="I19" s="34">
        <f>SUMPRODUCT((Results_Summary!$C$28:$C$94="3 month")*(Results_Summary!$N$28:$N$94="positive"))</f>
        <v>0</v>
      </c>
      <c r="J19" s="43">
        <f>SUMPRODUCT((Results_Summary!$C$28:$C$94="3 month")*(Results_Summary!$N$28:$N$94="par"))</f>
        <v>0</v>
      </c>
      <c r="K19" s="42">
        <f>AVERAGE(Results_Summary!N31,Results_Summary!N45,Results_Summary!N59,Results_Summary!N73,Results_Summary!N87)</f>
        <v>2.7365943048249759E-2</v>
      </c>
      <c r="L19" s="44"/>
      <c r="N19" s="37" t="s">
        <v>13</v>
      </c>
      <c r="O19" s="34">
        <f>SUMPRODUCT((Results_Summary!$C$28:$C$94="3 month")*(Results_Summary!$AA$28:$AA$94="negtive"))</f>
        <v>0</v>
      </c>
      <c r="P19" s="34">
        <f>SUMPRODUCT((Results_Summary!$C$28:$C$94="3 month")*(Results_Summary!$AA$28:$AA$94="positive"))</f>
        <v>0</v>
      </c>
      <c r="Q19" s="43">
        <f>SUMPRODUCT((Results_Summary!$C$28:$C$94="3 month")*(Results_Summary!$AA$28:$AA$94="par"))</f>
        <v>0</v>
      </c>
      <c r="R19" s="42">
        <f>AVERAGE(Results_Summary!AA31,Results_Summary!AA45,Results_Summary!AA59,Results_Summary!AA73,Results_Summary!AA87)</f>
        <v>6.3902857580966296E-2</v>
      </c>
      <c r="T19" s="37" t="s">
        <v>13</v>
      </c>
      <c r="U19" s="34">
        <f>SUMPRODUCT((Results_Summary!$C$28:$C$94="3 month")*(Results_Summary!$AE$28:$AE$94="negtive"))</f>
        <v>0</v>
      </c>
      <c r="V19" s="34">
        <f>SUMPRODUCT((Results_Summary!$C$28:$C$94="3 month")*(Results_Summary!$AE$28:$AE$94="positive"))</f>
        <v>0</v>
      </c>
      <c r="W19" s="43">
        <f>SUMPRODUCT((Results_Summary!$C$28:$C$94="3 month")*(Results_Summary!$AE$28:$AE$94="par"))</f>
        <v>0</v>
      </c>
      <c r="X19" s="42">
        <f>AVERAGE(Results_Summary!AE31,Results_Summary!AE45,Results_Summary!AE59,Results_Summary!AE73,Results_Summary!AE87)</f>
        <v>-3.252802139174003E-3</v>
      </c>
    </row>
    <row r="20" spans="1:24" ht="15.75" thickBot="1">
      <c r="A20" s="37" t="s">
        <v>14</v>
      </c>
      <c r="B20" s="43">
        <f>SUMPRODUCT((Results_Summary!$C$28:$C$94="6 month")*(Results_Summary!$J$28:$J$94="negtive"))</f>
        <v>0</v>
      </c>
      <c r="C20" s="34">
        <f>SUMPRODUCT((Results_Summary!$C$28:$C$94="6 month")*(Results_Summary!$J$28:$J$94="positive"))</f>
        <v>0</v>
      </c>
      <c r="D20" s="43">
        <f>SUMPRODUCT((Results_Summary!$C$28:$C$94="6 month")*(Results_Summary!$J$28:$J$94="par"))</f>
        <v>0</v>
      </c>
      <c r="E20" s="41">
        <f>AVERAGE(Results_Summary!J32,Results_Summary!J46,Results_Summary!J60,Results_Summary!J74,Results_Summary!J88)</f>
        <v>8.2722135656006418E-2</v>
      </c>
      <c r="G20" s="37" t="s">
        <v>14</v>
      </c>
      <c r="H20" s="43">
        <f>SUMPRODUCT((Results_Summary!$C$28:$C$94="6 month")*(Results_Summary!$N$28:$N$94="negtive"))</f>
        <v>0</v>
      </c>
      <c r="I20" s="34">
        <f>SUMPRODUCT((Results_Summary!$C$28:$C$94="6 month")*(Results_Summary!$N$28:$N$94="positive"))</f>
        <v>0</v>
      </c>
      <c r="J20" s="43">
        <f>SUMPRODUCT((Results_Summary!$C$28:$C$94="6 month")*(Results_Summary!$N$28:$N$94="par"))</f>
        <v>0</v>
      </c>
      <c r="K20" s="41">
        <f>AVERAGE(Results_Summary!N32,Results_Summary!N46,Results_Summary!N60,Results_Summary!N74,Results_Summary!N88)</f>
        <v>7.8438036896339245E-3</v>
      </c>
      <c r="L20" s="44"/>
      <c r="N20" s="37" t="s">
        <v>14</v>
      </c>
      <c r="O20" s="43">
        <f>SUMPRODUCT((Results_Summary!$C$28:$C$94="6 month")*(Results_Summary!$AA$28:$AA$94="negtive"))</f>
        <v>0</v>
      </c>
      <c r="P20" s="34">
        <f>SUMPRODUCT((Results_Summary!$C$28:$C$94="6 month")*(Results_Summary!$AA$28:$AA$94="positive"))</f>
        <v>0</v>
      </c>
      <c r="Q20" s="43">
        <f>SUMPRODUCT((Results_Summary!$C$28:$C$94="6 month")*(Results_Summary!$AA$28:$AA$94="par"))</f>
        <v>0</v>
      </c>
      <c r="R20" s="41">
        <f>AVERAGE(Results_Summary!AA32,Results_Summary!AA46,Results_Summary!AA60,Results_Summary!AA74,Results_Summary!AA88)</f>
        <v>7.4058008000603026E-2</v>
      </c>
      <c r="T20" s="37" t="s">
        <v>14</v>
      </c>
      <c r="U20" s="43">
        <f>SUMPRODUCT((Results_Summary!$C$28:$C$94="6 month")*(Results_Summary!$AE$28:$AE$94="negtive"))</f>
        <v>0</v>
      </c>
      <c r="V20" s="34">
        <f>SUMPRODUCT((Results_Summary!$C$28:$C$94="6 month")*(Results_Summary!$AE$28:$AE$94="positive"))</f>
        <v>0</v>
      </c>
      <c r="W20" s="43">
        <f>SUMPRODUCT((Results_Summary!$C$28:$C$94="6 month")*(Results_Summary!$AE$28:$AE$94="par"))</f>
        <v>0</v>
      </c>
      <c r="X20" s="41">
        <f>AVERAGE(Results_Summary!AE32,Results_Summary!AE46,Results_Summary!AE60,Results_Summary!AE74,Results_Summary!AE88)</f>
        <v>-4.4946729199359364E-4</v>
      </c>
    </row>
    <row r="23" spans="1:24">
      <c r="A23" s="120" t="s">
        <v>90</v>
      </c>
      <c r="B23" s="120"/>
    </row>
    <row r="25" spans="1:24">
      <c r="A25" s="38" t="s">
        <v>88</v>
      </c>
      <c r="G25" s="38" t="s">
        <v>89</v>
      </c>
      <c r="N25" s="38" t="s">
        <v>88</v>
      </c>
      <c r="T25" s="38" t="s">
        <v>89</v>
      </c>
    </row>
    <row r="26" spans="1:24" ht="14.25" thickBot="1">
      <c r="A26" s="39" t="s">
        <v>81</v>
      </c>
      <c r="G26" s="39" t="s">
        <v>81</v>
      </c>
      <c r="N26" s="39" t="s">
        <v>82</v>
      </c>
      <c r="T26" s="39" t="s">
        <v>82</v>
      </c>
    </row>
    <row r="27" spans="1:24" ht="14.25" thickBot="1">
      <c r="A27" s="87"/>
      <c r="B27" s="87" t="s">
        <v>83</v>
      </c>
      <c r="C27" s="88" t="s">
        <v>84</v>
      </c>
      <c r="D27" s="89" t="s">
        <v>86</v>
      </c>
      <c r="E27" s="89" t="s">
        <v>85</v>
      </c>
      <c r="G27" s="87"/>
      <c r="H27" s="87" t="s">
        <v>83</v>
      </c>
      <c r="I27" s="88" t="s">
        <v>84</v>
      </c>
      <c r="J27" s="89" t="s">
        <v>86</v>
      </c>
      <c r="K27" s="89" t="s">
        <v>85</v>
      </c>
      <c r="L27" s="4"/>
      <c r="N27" s="87"/>
      <c r="O27" s="87" t="s">
        <v>83</v>
      </c>
      <c r="P27" s="88" t="s">
        <v>84</v>
      </c>
      <c r="Q27" s="89" t="s">
        <v>86</v>
      </c>
      <c r="R27" s="89" t="s">
        <v>85</v>
      </c>
      <c r="T27" s="87"/>
      <c r="U27" s="87" t="s">
        <v>83</v>
      </c>
      <c r="V27" s="88" t="s">
        <v>84</v>
      </c>
      <c r="W27" s="89" t="s">
        <v>86</v>
      </c>
      <c r="X27" s="89" t="s">
        <v>85</v>
      </c>
    </row>
    <row r="28" spans="1:24" ht="15.75" thickBot="1">
      <c r="A28" s="37" t="s">
        <v>13</v>
      </c>
      <c r="B28" s="34">
        <f>SUMPRODUCT((Results_Summary!$C$98:$C$164="3 month")*(Results_Summary!$J$98:$J$164="negtive"))</f>
        <v>0</v>
      </c>
      <c r="C28" s="34">
        <f>SUMPRODUCT((Results_Summary!$C$98:$C$164="3 month")*(Results_Summary!$J$98:$J$164="positive"))</f>
        <v>0</v>
      </c>
      <c r="D28" s="43">
        <f>SUMPRODUCT((Results_Summary!$C$98:$C$164="3 month")*(Results_Summary!$J$98:$J$164="par"))</f>
        <v>0</v>
      </c>
      <c r="E28" s="42">
        <f>AVERAGE(Results_Summary!J101,Results_Summary!J115,Results_Summary!J129,Results_Summary!J143,Results_Summary!J157)</f>
        <v>-6.0923367226943899E-3</v>
      </c>
      <c r="G28" s="37" t="s">
        <v>13</v>
      </c>
      <c r="H28" s="34">
        <f>SUMPRODUCT((Results_Summary!$C$98:$C$164="3 month")*(Results_Summary!$N$98:$N$164="negtive"))</f>
        <v>0</v>
      </c>
      <c r="I28" s="34">
        <f>SUMPRODUCT((Results_Summary!$C$98:$C$164="3 month")*(Results_Summary!$N$98:$N$164="positive"))</f>
        <v>0</v>
      </c>
      <c r="J28" s="43">
        <f>SUMPRODUCT((Results_Summary!$C$98:$C$164="3 month")*(Results_Summary!$N$98:$N$164="par"))</f>
        <v>0</v>
      </c>
      <c r="K28" s="42">
        <f>AVERAGE(Results_Summary!N101,Results_Summary!N115,Results_Summary!N129,Results_Summary!N143,Results_Summary!N157)</f>
        <v>-3.3251263272481714E-2</v>
      </c>
      <c r="L28" s="44"/>
      <c r="N28" s="37" t="s">
        <v>13</v>
      </c>
      <c r="O28" s="34">
        <f>SUMPRODUCT((Results_Summary!$C$98:$C$164="3 month")*(Results_Summary!$AA$98:$AA$164="negtive"))</f>
        <v>0</v>
      </c>
      <c r="P28" s="34">
        <f>SUMPRODUCT((Results_Summary!$C$98:$C$164="3 month")*(Results_Summary!$AA$98:$AA$164="positive"))</f>
        <v>0</v>
      </c>
      <c r="Q28" s="43">
        <f>SUMPRODUCT((Results_Summary!$C$98:$C$164="3 month")*(Results_Summary!$AA$98:$AA$164="par"))</f>
        <v>1</v>
      </c>
      <c r="R28" s="42">
        <f>AVERAGE(Results_Summary!AA101,Results_Summary!AA115,Results_Summary!AA129,Results_Summary!AA143,Results_Summary!AA157)</f>
        <v>-1.46456295057334E-2</v>
      </c>
      <c r="T28" s="37" t="s">
        <v>13</v>
      </c>
      <c r="U28" s="34">
        <f>SUMPRODUCT((Results_Summary!$C$98:$C$164="3 month")*(Results_Summary!$AE$98:$AE$164="negtive"))</f>
        <v>0</v>
      </c>
      <c r="V28" s="34">
        <f>SUMPRODUCT((Results_Summary!$C$98:$C$164="3 month")*(Results_Summary!$AE$98:$AE$164="positive"))</f>
        <v>0</v>
      </c>
      <c r="W28" s="43">
        <f>SUMPRODUCT((Results_Summary!$C$98:$C$164="3 month")*(Results_Summary!$AE$98:$AE$164="par"))</f>
        <v>0</v>
      </c>
      <c r="X28" s="42">
        <f>AVERAGE(Results_Summary!AE101,Results_Summary!AE115,Results_Summary!AE129,Results_Summary!AE143,Results_Summary!AE157)</f>
        <v>-8.9458735921343957E-2</v>
      </c>
    </row>
    <row r="29" spans="1:24" ht="15.75" thickBot="1">
      <c r="A29" s="37" t="s">
        <v>14</v>
      </c>
      <c r="B29" s="43">
        <f>SUMPRODUCT((Results_Summary!$C$98:$C$164="6 month")*(Results_Summary!$J$98:$J$164="negtive"))</f>
        <v>0</v>
      </c>
      <c r="C29" s="34">
        <f>SUMPRODUCT((Results_Summary!$C$98:$C$164="6 month")*(Results_Summary!$J$98:$J$164="positive"))</f>
        <v>0</v>
      </c>
      <c r="D29" s="43">
        <f>SUMPRODUCT((Results_Summary!$C$98:$C$164="6 month")*(Results_Summary!$J$98:$J$164="par"))</f>
        <v>0</v>
      </c>
      <c r="E29" s="41">
        <f>AVERAGE(Results_Summary!J102,Results_Summary!J116,Results_Summary!J130,Results_Summary!J144,Results_Summary!J158)</f>
        <v>-1.3373961224899072E-2</v>
      </c>
      <c r="G29" s="37" t="s">
        <v>14</v>
      </c>
      <c r="H29" s="43">
        <f>SUMPRODUCT((Results_Summary!$C$98:$C$164="6 month")*(Results_Summary!$N$98:$N$164="negtive"))</f>
        <v>0</v>
      </c>
      <c r="I29" s="34">
        <f>SUMPRODUCT((Results_Summary!$C$98:$C$164="6 month")*(Results_Summary!$N$98:$N$164="positive"))</f>
        <v>0</v>
      </c>
      <c r="J29" s="43">
        <f>SUMPRODUCT((Results_Summary!$C$98:$C$164="6 month")*(Results_Summary!$N$98:$N$164="par"))</f>
        <v>0</v>
      </c>
      <c r="K29" s="41">
        <f>AVERAGE(Results_Summary!N102,Results_Summary!N116,Results_Summary!N130,Results_Summary!N144,Results_Summary!N158)</f>
        <v>-5.6297186017990664E-2</v>
      </c>
      <c r="L29" s="44"/>
      <c r="N29" s="37" t="s">
        <v>14</v>
      </c>
      <c r="O29" s="43">
        <f>SUMPRODUCT((Results_Summary!$C$98:$C$164="6 month")*(Results_Summary!$AA$98:$AA$164="negtive"))</f>
        <v>0</v>
      </c>
      <c r="P29" s="34">
        <f>SUMPRODUCT((Results_Summary!$C$98:$C$164="6 month")*(Results_Summary!$AA$98:$AA$164="positive"))</f>
        <v>0</v>
      </c>
      <c r="Q29" s="43">
        <f>SUMPRODUCT((Results_Summary!$C$98:$C$164="6 month")*(Results_Summary!$AA$98:$AA$164="par"))</f>
        <v>1</v>
      </c>
      <c r="R29" s="41">
        <f>AVERAGE(Results_Summary!AA102,Results_Summary!AA116,Results_Summary!AA130,Results_Summary!AA144,Results_Summary!AA158)</f>
        <v>-1.2434680195192081E-2</v>
      </c>
      <c r="T29" s="37" t="s">
        <v>14</v>
      </c>
      <c r="U29" s="43">
        <f>SUMPRODUCT((Results_Summary!$C$98:$C$164="6 month")*(Results_Summary!$AE$98:$AE$164="negtive"))</f>
        <v>0</v>
      </c>
      <c r="V29" s="34">
        <f>SUMPRODUCT((Results_Summary!$C$98:$C$164="6 month")*(Results_Summary!$AE$98:$AE$164="positive"))</f>
        <v>0</v>
      </c>
      <c r="W29" s="43">
        <f>SUMPRODUCT((Results_Summary!$C$98:$C$164="6 month")*(Results_Summary!$AE$98:$AE$164="par"))</f>
        <v>0</v>
      </c>
      <c r="X29" s="42">
        <f>AVERAGE(Results_Summary!AE102,Results_Summary!AE116,Results_Summary!AE130,Results_Summary!AE144,Results_Summary!AE158)</f>
        <v>-0.12077599292375318</v>
      </c>
    </row>
    <row r="32" spans="1:24">
      <c r="A32" s="120" t="s">
        <v>91</v>
      </c>
      <c r="B32" s="120"/>
    </row>
    <row r="34" spans="1:24">
      <c r="A34" s="38" t="s">
        <v>88</v>
      </c>
      <c r="G34" s="38" t="s">
        <v>89</v>
      </c>
      <c r="N34" s="38" t="s">
        <v>88</v>
      </c>
      <c r="T34" s="38" t="s">
        <v>89</v>
      </c>
    </row>
    <row r="35" spans="1:24" ht="14.25" thickBot="1">
      <c r="A35" s="39" t="s">
        <v>81</v>
      </c>
      <c r="G35" s="39" t="s">
        <v>81</v>
      </c>
      <c r="N35" s="39" t="s">
        <v>82</v>
      </c>
      <c r="T35" s="39" t="s">
        <v>82</v>
      </c>
    </row>
    <row r="36" spans="1:24" ht="14.25" thickBot="1">
      <c r="A36" s="87"/>
      <c r="B36" s="87" t="s">
        <v>83</v>
      </c>
      <c r="C36" s="88" t="s">
        <v>84</v>
      </c>
      <c r="D36" s="89" t="s">
        <v>86</v>
      </c>
      <c r="E36" s="89" t="s">
        <v>85</v>
      </c>
      <c r="G36" s="87"/>
      <c r="H36" s="87" t="s">
        <v>83</v>
      </c>
      <c r="I36" s="88" t="s">
        <v>84</v>
      </c>
      <c r="J36" s="89" t="s">
        <v>86</v>
      </c>
      <c r="K36" s="89" t="s">
        <v>85</v>
      </c>
      <c r="L36" s="4"/>
      <c r="N36" s="87"/>
      <c r="O36" s="87" t="s">
        <v>83</v>
      </c>
      <c r="P36" s="88" t="s">
        <v>84</v>
      </c>
      <c r="Q36" s="89" t="s">
        <v>86</v>
      </c>
      <c r="R36" s="89" t="s">
        <v>85</v>
      </c>
      <c r="T36" s="87"/>
      <c r="U36" s="87" t="s">
        <v>83</v>
      </c>
      <c r="V36" s="88" t="s">
        <v>84</v>
      </c>
      <c r="W36" s="89" t="s">
        <v>86</v>
      </c>
      <c r="X36" s="89" t="s">
        <v>85</v>
      </c>
    </row>
    <row r="37" spans="1:24" ht="15.75" thickBot="1">
      <c r="A37" s="37" t="s">
        <v>13</v>
      </c>
      <c r="B37" s="34">
        <f>SUMPRODUCT((Results_Summary!$C$168:$C$234="3 month")*(Results_Summary!$J$168:$J$234="negtive"))</f>
        <v>0</v>
      </c>
      <c r="C37" s="34">
        <f>SUMPRODUCT((Results_Summary!$C$168:$C$234="3 month")*(Results_Summary!$J$168:$J$234="positive"))</f>
        <v>0</v>
      </c>
      <c r="D37" s="43">
        <f>SUMPRODUCT((Results_Summary!$C$168:$C$234="3 month")*(Results_Summary!$J$168:$J$234="par"))</f>
        <v>0</v>
      </c>
      <c r="E37" s="42">
        <f>AVERAGE(Results_Summary!J171,Results_Summary!J185,Results_Summary!J199,Results_Summary!J213,Results_Summary!J227)</f>
        <v>-8.3800199587629576E-2</v>
      </c>
      <c r="G37" s="37" t="s">
        <v>13</v>
      </c>
      <c r="H37" s="34">
        <f>SUMPRODUCT((Results_Summary!$C$168:$C$234="3 month")*(Results_Summary!$N$168:$N$234="negtive"))</f>
        <v>0</v>
      </c>
      <c r="I37" s="34">
        <f>SUMPRODUCT((Results_Summary!$C$168:$C$234="3 month")*(Results_Summary!$N$168:$N$234="positive"))</f>
        <v>0</v>
      </c>
      <c r="J37" s="43">
        <f>SUMPRODUCT((Results_Summary!$C$168:$C$234="3 month")*(Results_Summary!$N$168:$N$234="par"))</f>
        <v>0</v>
      </c>
      <c r="K37" s="42">
        <f>AVERAGE(Results_Summary!N171,Results_Summary!N185,Results_Summary!N199,Results_Summary!N213,Results_Summary!N227)</f>
        <v>-7.6975326219068897E-3</v>
      </c>
      <c r="L37" s="44"/>
      <c r="N37" s="37" t="s">
        <v>13</v>
      </c>
      <c r="O37" s="34">
        <f>SUMPRODUCT((Results_Summary!$C$168:$C$234="3 month")*(Results_Summary!$AA$168:$AA$234="negtive"))</f>
        <v>0</v>
      </c>
      <c r="P37" s="34">
        <f>SUMPRODUCT((Results_Summary!$C$168:$C$234="3 month")*(Results_Summary!$AA$168:$AA$234="positive"))</f>
        <v>0</v>
      </c>
      <c r="Q37" s="43">
        <f>SUMPRODUCT((Results_Summary!$C$168:$C$234="3 month")*(Results_Summary!$AA$168:$AA$234="par"))</f>
        <v>0</v>
      </c>
      <c r="R37" s="42">
        <f>AVERAGE(Results_Summary!AA171,Results_Summary!AA185,Results_Summary!AA199,Results_Summary!AA213,Results_Summary!AA227)</f>
        <v>-0.11809012507647058</v>
      </c>
      <c r="T37" s="37" t="s">
        <v>13</v>
      </c>
      <c r="U37" s="34">
        <f>SUMPRODUCT((Results_Summary!$C$168:$C$234="3 month")*(Results_Summary!$AE$168:$AE$234="negtive"))</f>
        <v>0</v>
      </c>
      <c r="V37" s="34">
        <f>SUMPRODUCT((Results_Summary!$C$168:$C$234="3 month")*(Results_Summary!$AE$168:$AE$234="positive"))</f>
        <v>0</v>
      </c>
      <c r="W37" s="43">
        <f>SUMPRODUCT((Results_Summary!$C$168:$C$234="3 month")*(Results_Summary!$AE$168:$AE$234="par"))</f>
        <v>0</v>
      </c>
      <c r="X37" s="42">
        <f>AVERAGE(Results_Summary!AE171,Results_Summary!AE185,Results_Summary!AE199,Results_Summary!AE213,Results_Summary!AE227)</f>
        <v>-6.5495701356608496E-2</v>
      </c>
    </row>
    <row r="38" spans="1:24" ht="15.75" thickBot="1">
      <c r="A38" s="37" t="s">
        <v>14</v>
      </c>
      <c r="B38" s="43">
        <f>SUMPRODUCT((Results_Summary!$C$168:$C$234="6 month")*(Results_Summary!$J$168:$J$234="negtive"))</f>
        <v>0</v>
      </c>
      <c r="C38" s="34">
        <f>SUMPRODUCT((Results_Summary!$C$168:$C$234="6 month")*(Results_Summary!$J$168:$J$234="positive"))</f>
        <v>0</v>
      </c>
      <c r="D38" s="43">
        <f>SUMPRODUCT((Results_Summary!$C$168:$C$234="6 month")*(Results_Summary!$J$168:$J$234="par"))</f>
        <v>0</v>
      </c>
      <c r="E38" s="41">
        <f>AVERAGE(Results_Summary!J172,Results_Summary!J186,Results_Summary!J200,Results_Summary!J214,Results_Summary!J228)</f>
        <v>-0.1135473272254756</v>
      </c>
      <c r="G38" s="37" t="s">
        <v>14</v>
      </c>
      <c r="H38" s="43">
        <f>SUMPRODUCT((Results_Summary!$C$168:$C$234="6 month")*(Results_Summary!$N$168:$N$234="negtive"))</f>
        <v>0</v>
      </c>
      <c r="I38" s="34">
        <f>SUMPRODUCT((Results_Summary!$C$168:$C$234="6 month")*(Results_Summary!$N$168:$N$234="positive"))</f>
        <v>0</v>
      </c>
      <c r="J38" s="43">
        <f>SUMPRODUCT((Results_Summary!$C$168:$C$234="6 month")*(Results_Summary!$N$168:$N$234="par"))</f>
        <v>0</v>
      </c>
      <c r="K38" s="41">
        <f>AVERAGE(Results_Summary!N172,Results_Summary!N186,Results_Summary!N200,Results_Summary!N214,Results_Summary!N228)</f>
        <v>-2.4291959421057791E-2</v>
      </c>
      <c r="L38" s="44"/>
      <c r="N38" s="37" t="s">
        <v>14</v>
      </c>
      <c r="O38" s="43">
        <f>SUMPRODUCT((Results_Summary!$C$168:$C$234="6 month")*(Results_Summary!$AA$168:$AA$234="negtive"))</f>
        <v>0</v>
      </c>
      <c r="P38" s="34">
        <f>SUMPRODUCT((Results_Summary!$C$168:$C$234="6 month")*(Results_Summary!$AA$168:$AA$234="positive"))</f>
        <v>0</v>
      </c>
      <c r="Q38" s="43">
        <f>SUMPRODUCT((Results_Summary!$C$168:$C$234="6 month")*(Results_Summary!$AA$168:$AA$234="par"))</f>
        <v>0</v>
      </c>
      <c r="R38" s="41">
        <f>AVERAGE(Results_Summary!AA172,Results_Summary!AA186,Results_Summary!AA200,Results_Summary!AA214,Results_Summary!AA228)</f>
        <v>-0.16931158728395918</v>
      </c>
      <c r="T38" s="37" t="s">
        <v>14</v>
      </c>
      <c r="U38" s="43">
        <f>SUMPRODUCT((Results_Summary!$C$168:$C$234="6 month")*(Results_Summary!$AE$168:$AE$234="negtive"))</f>
        <v>0</v>
      </c>
      <c r="V38" s="34">
        <f>SUMPRODUCT((Results_Summary!$C$168:$C$234="6 month")*(Results_Summary!$AE$168:$AE$234="positive"))</f>
        <v>0</v>
      </c>
      <c r="W38" s="43">
        <f>SUMPRODUCT((Results_Summary!$C$168:$C$234="6 month")*(Results_Summary!$AE$168:$AE$234="par"))</f>
        <v>0</v>
      </c>
      <c r="X38" s="41">
        <f>AVERAGE(Results_Summary!AE172,Results_Summary!AE186,Results_Summary!AE200,Results_Summary!AE214,Results_Summary!AE228)</f>
        <v>-9.2517710434650166E-2</v>
      </c>
    </row>
  </sheetData>
  <mergeCells count="4">
    <mergeCell ref="A4:B4"/>
    <mergeCell ref="A14:B14"/>
    <mergeCell ref="A23:B23"/>
    <mergeCell ref="A32:B32"/>
  </mergeCells>
  <phoneticPr fontId="3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X38"/>
  <sheetViews>
    <sheetView workbookViewId="0">
      <pane ySplit="3" topLeftCell="A4" activePane="bottomLeft" state="frozen"/>
      <selection pane="bottomLeft" activeCell="B37" sqref="B37"/>
    </sheetView>
  </sheetViews>
  <sheetFormatPr defaultRowHeight="13.5"/>
  <cols>
    <col min="1" max="1" width="12" customWidth="1"/>
    <col min="2" max="2" width="12.625" customWidth="1"/>
    <col min="3" max="3" width="10.375" customWidth="1"/>
    <col min="4" max="4" width="13" customWidth="1"/>
    <col min="5" max="5" width="12.875" customWidth="1"/>
    <col min="9" max="9" width="12.375" customWidth="1"/>
    <col min="10" max="10" width="11.75" customWidth="1"/>
    <col min="12" max="12" width="6.25" customWidth="1"/>
    <col min="13" max="13" width="6.375" style="12" customWidth="1"/>
    <col min="14" max="14" width="17.75" customWidth="1"/>
    <col min="16" max="17" width="13.625" bestFit="1" customWidth="1"/>
    <col min="23" max="23" width="13.625" bestFit="1" customWidth="1"/>
  </cols>
  <sheetData>
    <row r="1" spans="1:21" ht="18">
      <c r="A1" s="3" t="s">
        <v>93</v>
      </c>
      <c r="M1"/>
    </row>
    <row r="2" spans="1:21">
      <c r="M2"/>
    </row>
    <row r="3" spans="1:21">
      <c r="M3"/>
    </row>
    <row r="4" spans="1:21">
      <c r="A4" s="120" t="s">
        <v>80</v>
      </c>
      <c r="B4" s="120"/>
    </row>
    <row r="6" spans="1:21" ht="14.25" thickBot="1">
      <c r="A6" s="39" t="s">
        <v>81</v>
      </c>
      <c r="N6" s="39" t="s">
        <v>82</v>
      </c>
    </row>
    <row r="7" spans="1:21" ht="14.25" thickBot="1">
      <c r="A7" s="87"/>
      <c r="B7" s="87" t="s">
        <v>83</v>
      </c>
      <c r="C7" s="88" t="s">
        <v>84</v>
      </c>
      <c r="D7" s="89" t="s">
        <v>86</v>
      </c>
      <c r="E7" s="89" t="s">
        <v>85</v>
      </c>
      <c r="F7" s="97" t="s">
        <v>96</v>
      </c>
      <c r="G7" s="96" t="s">
        <v>95</v>
      </c>
      <c r="H7" s="96" t="s">
        <v>97</v>
      </c>
      <c r="N7" s="87"/>
      <c r="O7" s="87" t="s">
        <v>83</v>
      </c>
      <c r="P7" s="88" t="s">
        <v>84</v>
      </c>
      <c r="Q7" s="89" t="s">
        <v>86</v>
      </c>
      <c r="R7" s="89" t="s">
        <v>85</v>
      </c>
      <c r="S7" s="87" t="s">
        <v>83</v>
      </c>
      <c r="T7" s="88" t="s">
        <v>84</v>
      </c>
      <c r="U7" s="89" t="s">
        <v>86</v>
      </c>
    </row>
    <row r="8" spans="1:21" ht="15.75" thickBot="1">
      <c r="A8" s="37" t="s">
        <v>13</v>
      </c>
      <c r="B8" s="4">
        <f>SUMPRODUCT((Results_Summary!C:C="3 month")*(Results_Summary!D:D="negtive"))</f>
        <v>0</v>
      </c>
      <c r="C8" s="34">
        <f>SUMPRODUCT((Results_Summary!C:C="3 month")*(Results_Summary!D:D="positive"))</f>
        <v>0</v>
      </c>
      <c r="D8" s="43">
        <f>SUMPRODUCT((Results_Summary!C:C="3 month")*(Results_Summary!D:D="par"))</f>
        <v>0</v>
      </c>
      <c r="E8" s="42">
        <f>AVERAGE(Results_Summary!D31,Results_Summary!D45,Results_Summary!D59,Results_Summary!D73,Results_Summary!D87,Results_Summary!D101,Results_Summary!D115,Results_Summary!D129,Results_Summary!D143,Results_Summary!D157,Results_Summary!D171,Results_Summary!D185,Results_Summary!D199,Results_Summary!D213,Results_Summary!D227)</f>
        <v>3.7820869902496529E-2</v>
      </c>
      <c r="F8">
        <v>1</v>
      </c>
      <c r="G8">
        <v>2</v>
      </c>
      <c r="H8">
        <v>0</v>
      </c>
      <c r="N8" s="37" t="s">
        <v>13</v>
      </c>
      <c r="O8" s="4">
        <f>SUMPRODUCT((Results_Summary!T:T="3 month")*(Results_Summary!U:U="negtive"))</f>
        <v>0</v>
      </c>
      <c r="P8" s="34">
        <f>SUMPRODUCT((Results_Summary!T:T="3 month")*(Results_Summary!U:U="positive"))</f>
        <v>0</v>
      </c>
      <c r="Q8" s="43">
        <f>SUMPRODUCT((Results_Summary!T:T="3 month")*(Results_Summary!U:U="par"))</f>
        <v>1</v>
      </c>
      <c r="R8" s="42">
        <f>AVERAGE(Results_Summary!U31,Results_Summary!U45,Results_Summary!U59,Results_Summary!U73,Results_Summary!U87,Results_Summary!U101,Results_Summary!U115,Results_Summary!U129,Results_Summary!U143,Results_Summary!U157,Results_Summary!U171,Results_Summary!U185,Results_Summary!U199,Results_Summary!U213,Results_Summary!U227)</f>
        <v>1.8216921536308696E-2</v>
      </c>
      <c r="S8">
        <v>2</v>
      </c>
      <c r="T8">
        <v>3</v>
      </c>
      <c r="U8">
        <v>0</v>
      </c>
    </row>
    <row r="9" spans="1:21" ht="15.75" thickBot="1">
      <c r="A9" s="37" t="s">
        <v>14</v>
      </c>
      <c r="B9" s="34">
        <f>SUMPRODUCT((Results_Summary!C:C="6 month")*(Results_Summary!D:D="negtive"))</f>
        <v>0</v>
      </c>
      <c r="C9" s="34">
        <f>SUMPRODUCT((Results_Summary!C:C="6 month")*(Results_Summary!D:D="positive"))</f>
        <v>0</v>
      </c>
      <c r="D9" s="34">
        <f>SUMPRODUCT((Results_Summary!D:D="6 month")*(Results_Summary!H:H="par"))</f>
        <v>0</v>
      </c>
      <c r="E9" s="41">
        <f>AVERAGE(Results_Summary!D32,Results_Summary!D46,Results_Summary!D60,Results_Summary!D74,Results_Summary!D88,Results_Summary!D102,Results_Summary!D116,Results_Summary!D130,Results_Summary!D144,Results_Summary!D158,Results_Summary!D172,Results_Summary!D186,Results_Summary!D200,Results_Summary!D214,Results_Summary!D228)</f>
        <v>6.2369535047997297E-2</v>
      </c>
      <c r="F9" t="s">
        <v>98</v>
      </c>
      <c r="G9">
        <v>5</v>
      </c>
      <c r="H9">
        <v>0</v>
      </c>
      <c r="N9" s="37" t="s">
        <v>14</v>
      </c>
      <c r="O9" s="34">
        <f>SUMPRODUCT((Results_Summary!T:T="6 month")*(Results_Summary!U:U="negtive"))</f>
        <v>0</v>
      </c>
      <c r="P9" s="34">
        <f>SUMPRODUCT((Results_Summary!T:T="6 month")*(Results_Summary!U:U="positive"))</f>
        <v>0</v>
      </c>
      <c r="Q9" s="34">
        <f>SUMPRODUCT((Results_Summary!T:T="6 month")*(Results_Summary!U:U="par"))</f>
        <v>1</v>
      </c>
      <c r="R9" s="41">
        <f>AVERAGE(Results_Summary!U32,Results_Summary!U46,Results_Summary!U60,Results_Summary!U74,Results_Summary!U88,Results_Summary!U102,Results_Summary!U116,Results_Summary!U130,Results_Summary!U144,Results_Summary!U158,Results_Summary!U172,Results_Summary!U186,Results_Summary!U200,Results_Summary!U214,Results_Summary!U228)</f>
        <v>3.5755373869800183E-2</v>
      </c>
      <c r="T9">
        <v>4</v>
      </c>
    </row>
    <row r="10" spans="1:21">
      <c r="F10" s="4"/>
    </row>
    <row r="14" spans="1:21">
      <c r="A14" s="120" t="s">
        <v>87</v>
      </c>
      <c r="B14" s="120"/>
    </row>
    <row r="16" spans="1:21">
      <c r="A16" s="38" t="s">
        <v>88</v>
      </c>
      <c r="G16" s="38" t="s">
        <v>89</v>
      </c>
      <c r="N16" s="38" t="s">
        <v>88</v>
      </c>
      <c r="T16" s="38" t="s">
        <v>89</v>
      </c>
    </row>
    <row r="17" spans="1:24" ht="14.25" thickBot="1">
      <c r="A17" s="39" t="s">
        <v>81</v>
      </c>
      <c r="G17" s="39" t="s">
        <v>81</v>
      </c>
      <c r="N17" s="39" t="s">
        <v>82</v>
      </c>
      <c r="T17" s="39" t="s">
        <v>82</v>
      </c>
    </row>
    <row r="18" spans="1:24" ht="14.25" thickBot="1">
      <c r="A18" s="87"/>
      <c r="B18" s="87" t="s">
        <v>83</v>
      </c>
      <c r="C18" s="88" t="s">
        <v>84</v>
      </c>
      <c r="D18" s="89" t="s">
        <v>86</v>
      </c>
      <c r="E18" s="89" t="s">
        <v>85</v>
      </c>
      <c r="G18" s="87"/>
      <c r="H18" s="87" t="s">
        <v>83</v>
      </c>
      <c r="I18" s="88" t="s">
        <v>84</v>
      </c>
      <c r="J18" s="89" t="s">
        <v>86</v>
      </c>
      <c r="K18" s="89" t="s">
        <v>85</v>
      </c>
      <c r="L18" s="4"/>
      <c r="N18" s="87"/>
      <c r="O18" s="87" t="s">
        <v>83</v>
      </c>
      <c r="P18" s="88" t="s">
        <v>84</v>
      </c>
      <c r="Q18" s="89" t="s">
        <v>86</v>
      </c>
      <c r="R18" s="89" t="s">
        <v>85</v>
      </c>
      <c r="T18" s="87"/>
      <c r="U18" s="87" t="s">
        <v>83</v>
      </c>
      <c r="V18" s="88" t="s">
        <v>84</v>
      </c>
      <c r="W18" s="89" t="s">
        <v>86</v>
      </c>
      <c r="X18" s="89" t="s">
        <v>85</v>
      </c>
    </row>
    <row r="19" spans="1:24" ht="15.75" thickBot="1">
      <c r="A19" s="37" t="s">
        <v>13</v>
      </c>
      <c r="B19" s="34">
        <f>SUMPRODUCT((Results_Summary!$C$28:$C$94="3 month")*(Results_Summary!$H$28:$H$94="negtive"))</f>
        <v>0</v>
      </c>
      <c r="C19" s="34">
        <f>SUMPRODUCT((Results_Summary!$C$28:$C$94="3 month")*(Results_Summary!$H$28:$H$94="positive"))</f>
        <v>0</v>
      </c>
      <c r="D19" s="43">
        <f>SUMPRODUCT((Results_Summary!$C$28:$C$94="3 month")*(Results_Summary!$H$28:$H$94="par"))</f>
        <v>0</v>
      </c>
      <c r="E19" s="42">
        <f>AVERAGE(Results_Summary!H31,Results_Summary!H45,Results_Summary!H59,Results_Summary!H73,Results_Summary!H87)</f>
        <v>5.8712237925859223E-2</v>
      </c>
      <c r="G19" s="37" t="s">
        <v>13</v>
      </c>
      <c r="H19" s="34">
        <f>SUMPRODUCT((Results_Summary!$C$28:$C$94="3 month")*(Results_Summary!$L$28:$L$94="negtive"))</f>
        <v>0</v>
      </c>
      <c r="I19" s="34">
        <f>SUMPRODUCT((Results_Summary!$C$28:$C$94="3 month")*(Results_Summary!$L$28:$L$94="positive"))</f>
        <v>0</v>
      </c>
      <c r="J19" s="43">
        <f>SUMPRODUCT((Results_Summary!$C$28:$C$94="3 month")*(Results_Summary!$L$28:$L$94="par"))</f>
        <v>0</v>
      </c>
      <c r="K19" s="42">
        <f>AVERAGE(Results_Summary!L31,Results_Summary!L45,Results_Summary!L59,Results_Summary!L73,Results_Summary!L87)</f>
        <v>6.0938521119470561E-2</v>
      </c>
      <c r="L19" s="44"/>
      <c r="N19" s="37" t="s">
        <v>13</v>
      </c>
      <c r="O19" s="34">
        <f>SUMPRODUCT((Results_Summary!$C$28:$C$94="3 month")*(Results_Summary!$Y$28:$Y$94="negtive"))</f>
        <v>0</v>
      </c>
      <c r="P19" s="34">
        <f>SUMPRODUCT((Results_Summary!$C$28:$C$94="3 month")*(Results_Summary!$Y$28:$Y$94="positive"))</f>
        <v>0</v>
      </c>
      <c r="Q19" s="43">
        <f>SUMPRODUCT((Results_Summary!$C$28:$C$94="3 month")*(Results_Summary!$Y$28:$Y$94="par"))</f>
        <v>0</v>
      </c>
      <c r="R19" s="42">
        <f>AVERAGE(Results_Summary!Y31,Results_Summary!Y45,Results_Summary!Y59,Results_Summary!Y73,Results_Summary!Y87)</f>
        <v>3.1909099962475006E-2</v>
      </c>
      <c r="T19" s="37" t="s">
        <v>13</v>
      </c>
      <c r="U19" s="34">
        <f>SUMPRODUCT((Results_Summary!$C$28:$C$94="3 month")*(Results_Summary!$AC$28:$AC$94="negtive"))</f>
        <v>0</v>
      </c>
      <c r="V19" s="34">
        <f>SUMPRODUCT((Results_Summary!$C$28:$C$94="3 month")*(Results_Summary!$AC$28:$AC$94="positive"))</f>
        <v>0</v>
      </c>
      <c r="W19" s="43">
        <f>SUMPRODUCT((Results_Summary!$C$28:$C$94="3 month")*(Results_Summary!$AC$28:$AC$94="par"))</f>
        <v>0</v>
      </c>
      <c r="X19" s="42">
        <f>AVERAGE(Results_Summary!AC31,Results_Summary!AC45,Results_Summary!AC59,Results_Summary!AC73,Results_Summary!AC87)</f>
        <v>-4.5709027253568804E-3</v>
      </c>
    </row>
    <row r="20" spans="1:24" ht="15.75" thickBot="1">
      <c r="A20" s="37" t="s">
        <v>14</v>
      </c>
      <c r="B20" s="43">
        <f>SUMPRODUCT((Results_Summary!$C$28:$C$94="6 month")*(Results_Summary!$H$28:$H$94="negtive"))</f>
        <v>0</v>
      </c>
      <c r="C20" s="34">
        <f>SUMPRODUCT((Results_Summary!$C$28:$C$94="6 month")*(Results_Summary!$H$28:$H$94="positive"))</f>
        <v>0</v>
      </c>
      <c r="D20" s="43">
        <f>SUMPRODUCT((Results_Summary!$C$28:$C$94="6 month")*(Results_Summary!$H$28:$H$94="par"))</f>
        <v>0</v>
      </c>
      <c r="E20" s="41">
        <f>AVERAGE(Results_Summary!H32,Results_Summary!H46,Results_Summary!H60,Results_Summary!H74,Results_Summary!H88)</f>
        <v>5.7233305658460062E-2</v>
      </c>
      <c r="G20" s="37" t="s">
        <v>14</v>
      </c>
      <c r="H20" s="43">
        <f>SUMPRODUCT((Results_Summary!$C$28:$C$94="6 month")*(Results_Summary!$L$28:$L$94="negtive"))</f>
        <v>0</v>
      </c>
      <c r="I20" s="34">
        <f>SUMPRODUCT((Results_Summary!$C$28:$C$94="6 month")*(Results_Summary!$L$28:$L$94="positive"))</f>
        <v>0</v>
      </c>
      <c r="J20" s="43">
        <f>SUMPRODUCT((Results_Summary!$C$28:$C$94="6 month")*(Results_Summary!$L$28:$L$94="par"))</f>
        <v>0</v>
      </c>
      <c r="K20" s="41">
        <f>AVERAGE(Results_Summary!L32,Results_Summary!L46,Results_Summary!L60,Results_Summary!L74,Results_Summary!L88)</f>
        <v>4.5401459805728045E-2</v>
      </c>
      <c r="L20" s="44"/>
      <c r="N20" s="37" t="s">
        <v>14</v>
      </c>
      <c r="O20" s="43">
        <f>SUMPRODUCT((Results_Summary!$C$28:$C$94="6 month")*(Results_Summary!$Y$28:$Y$94="negtive"))</f>
        <v>0</v>
      </c>
      <c r="P20" s="34">
        <f>SUMPRODUCT((Results_Summary!$C$28:$C$94="6 month")*(Results_Summary!$Y$28:$Y$94="positive"))</f>
        <v>0</v>
      </c>
      <c r="Q20" s="43">
        <f>SUMPRODUCT((Results_Summary!$C$28:$C$94="6 month")*(Results_Summary!$Y$28:$Y$94="par"))</f>
        <v>0</v>
      </c>
      <c r="R20" s="41">
        <f>AVERAGE(Results_Summary!Y32,Results_Summary!Y46,Results_Summary!Y60,Results_Summary!Y74,Results_Summary!Y88)</f>
        <v>3.4201021465175709E-2</v>
      </c>
      <c r="T20" s="37" t="s">
        <v>14</v>
      </c>
      <c r="U20" s="43">
        <f>SUMPRODUCT((Results_Summary!$C$28:$C$94="6 month")*(Results_Summary!$AC$28:$AC$94="negtive"))</f>
        <v>0</v>
      </c>
      <c r="V20" s="34">
        <f>SUMPRODUCT((Results_Summary!$C$28:$C$94="6 month")*(Results_Summary!$AC$28:$AC$94="positive"))</f>
        <v>0</v>
      </c>
      <c r="W20" s="43">
        <f>SUMPRODUCT((Results_Summary!$C$28:$C$94="6 month")*(Results_Summary!$AC$28:$AC$94="par"))</f>
        <v>0</v>
      </c>
      <c r="X20" s="41">
        <f>AVERAGE(Results_Summary!AC32,Results_Summary!AC46,Results_Summary!AC60,Results_Summary!AC74,Results_Summary!AC88)</f>
        <v>-6.6294267146277692E-3</v>
      </c>
    </row>
    <row r="21" spans="1:24">
      <c r="B21">
        <v>1</v>
      </c>
      <c r="C21">
        <v>2</v>
      </c>
    </row>
    <row r="22" spans="1:24">
      <c r="C22">
        <v>2</v>
      </c>
    </row>
    <row r="23" spans="1:24">
      <c r="A23" s="120" t="s">
        <v>90</v>
      </c>
      <c r="B23" s="120"/>
    </row>
    <row r="25" spans="1:24">
      <c r="A25" s="38" t="s">
        <v>88</v>
      </c>
      <c r="G25" s="38" t="s">
        <v>89</v>
      </c>
      <c r="N25" s="38" t="s">
        <v>88</v>
      </c>
      <c r="T25" s="38" t="s">
        <v>89</v>
      </c>
    </row>
    <row r="26" spans="1:24" ht="14.25" thickBot="1">
      <c r="A26" s="39" t="s">
        <v>81</v>
      </c>
      <c r="G26" s="39" t="s">
        <v>81</v>
      </c>
      <c r="N26" s="39" t="s">
        <v>82</v>
      </c>
      <c r="T26" s="39" t="s">
        <v>82</v>
      </c>
    </row>
    <row r="27" spans="1:24" ht="14.25" thickBot="1">
      <c r="A27" s="87"/>
      <c r="B27" s="87" t="s">
        <v>83</v>
      </c>
      <c r="C27" s="88" t="s">
        <v>84</v>
      </c>
      <c r="D27" s="89" t="s">
        <v>86</v>
      </c>
      <c r="E27" s="89" t="s">
        <v>85</v>
      </c>
      <c r="G27" s="87"/>
      <c r="H27" s="87" t="s">
        <v>83</v>
      </c>
      <c r="I27" s="88" t="s">
        <v>84</v>
      </c>
      <c r="J27" s="89" t="s">
        <v>86</v>
      </c>
      <c r="K27" s="89" t="s">
        <v>85</v>
      </c>
      <c r="L27" s="4"/>
      <c r="N27" s="87"/>
      <c r="O27" s="87" t="s">
        <v>83</v>
      </c>
      <c r="P27" s="88" t="s">
        <v>84</v>
      </c>
      <c r="Q27" s="89" t="s">
        <v>86</v>
      </c>
      <c r="R27" s="89" t="s">
        <v>85</v>
      </c>
      <c r="T27" s="87"/>
      <c r="U27" s="87" t="s">
        <v>83</v>
      </c>
      <c r="V27" s="88" t="s">
        <v>84</v>
      </c>
      <c r="W27" s="89" t="s">
        <v>86</v>
      </c>
      <c r="X27" s="89" t="s">
        <v>85</v>
      </c>
    </row>
    <row r="28" spans="1:24" ht="15.75" thickBot="1">
      <c r="A28" s="37" t="s">
        <v>13</v>
      </c>
      <c r="B28" s="34">
        <f>SUMPRODUCT((Results_Summary!$C$98:$C$164="3 month")*(Results_Summary!$H$98:$H$164="negtive"))</f>
        <v>0</v>
      </c>
      <c r="C28" s="34">
        <f>SUMPRODUCT((Results_Summary!$C$98:$C$164="3 month")*(Results_Summary!$H$98:$H$164="positive"))</f>
        <v>0</v>
      </c>
      <c r="D28" s="43">
        <f>SUMPRODUCT((Results_Summary!$C$98:$C$164="3 month")*(Results_Summary!$H$98:$H$164="par"))</f>
        <v>0</v>
      </c>
      <c r="E28" s="42">
        <f>AVERAGE(Results_Summary!H101,Results_Summary!H115,Results_Summary!H129,Results_Summary!H143,Results_Summary!H157)</f>
        <v>-1.8610277224480831E-2</v>
      </c>
      <c r="G28" s="37" t="s">
        <v>13</v>
      </c>
      <c r="H28" s="34">
        <f>SUMPRODUCT((Results_Summary!$C$98:$C$164="3 month")*(Results_Summary!$L$98:$L$164="negtive"))</f>
        <v>0</v>
      </c>
      <c r="I28" s="34">
        <f>SUMPRODUCT((Results_Summary!$C$98:$C$164="3 month")*(Results_Summary!$L$98:$L$164="positive"))</f>
        <v>0</v>
      </c>
      <c r="J28" s="43">
        <f>SUMPRODUCT((Results_Summary!$C$98:$C$164="3 month")*(Results_Summary!$L$98:$L$164="par"))</f>
        <v>0</v>
      </c>
      <c r="K28" s="42">
        <f>AVERAGE(Results_Summary!L101,Results_Summary!L115,Results_Summary!L129,Results_Summary!L143,Results_Summary!L157)</f>
        <v>-9.4937903103510888E-3</v>
      </c>
      <c r="L28" s="44"/>
      <c r="N28" s="37" t="s">
        <v>13</v>
      </c>
      <c r="O28" s="34">
        <f>SUMPRODUCT((Results_Summary!$C$98:$C$164="3 month")*(Results_Summary!$Y$98:$Y$164="negtive"))</f>
        <v>0</v>
      </c>
      <c r="P28" s="34">
        <f>SUMPRODUCT((Results_Summary!$C$98:$C$164="3 month")*(Results_Summary!$Y$98:$Y$164="positive"))</f>
        <v>0</v>
      </c>
      <c r="Q28" s="43">
        <f>SUMPRODUCT((Results_Summary!$C$98:$C$164="3 month")*(Results_Summary!$Y$98:$Y$164="par"))</f>
        <v>1</v>
      </c>
      <c r="R28" s="42">
        <f>AVERAGE(Results_Summary!Y101,Results_Summary!Y115,Results_Summary!Y129,Results_Summary!Y143,Results_Summary!Y157)</f>
        <v>-2.6343741044074487E-2</v>
      </c>
      <c r="T28" s="37" t="s">
        <v>13</v>
      </c>
      <c r="U28" s="34">
        <f>SUMPRODUCT((Results_Summary!$C$98:$C$164="3 month")*(Results_Summary!$AC$98:$AC$164="negtive"))</f>
        <v>0</v>
      </c>
      <c r="V28" s="34">
        <f>SUMPRODUCT((Results_Summary!$C$98:$C$164="3 month")*(Results_Summary!$AC$98:$AC$164="positive"))</f>
        <v>0</v>
      </c>
      <c r="W28" s="43">
        <f>SUMPRODUCT((Results_Summary!$C$98:$C$164="3 month")*(Results_Summary!$AC$98:$AC$164="par"))</f>
        <v>0</v>
      </c>
      <c r="X28" s="42">
        <f>AVERAGE(Results_Summary!AC101,Results_Summary!AC115,Results_Summary!AC129,Results_Summary!AC143,Results_Summary!AC157)</f>
        <v>-1.8857761515336004E-2</v>
      </c>
    </row>
    <row r="29" spans="1:24" ht="15.75" thickBot="1">
      <c r="A29" s="37" t="s">
        <v>14</v>
      </c>
      <c r="B29" s="43">
        <f>SUMPRODUCT((Results_Summary!$C$98:$C$164="6 month")*(Results_Summary!$H$98:$H$164="negtive"))</f>
        <v>0</v>
      </c>
      <c r="C29" s="34">
        <f>SUMPRODUCT((Results_Summary!$C$98:$C$164="6 month")*(Results_Summary!$H$98:$H$164="positive"))</f>
        <v>0</v>
      </c>
      <c r="D29" s="43">
        <f>SUMPRODUCT((Results_Summary!$C$98:$C$164="6 month")*(Results_Summary!$H$98:$H$164="par"))</f>
        <v>0</v>
      </c>
      <c r="E29" s="41">
        <f>AVERAGE(Results_Summary!H102,Results_Summary!H116,Results_Summary!H130,Results_Summary!H144,Results_Summary!H158)</f>
        <v>-1.4028299867013682E-2</v>
      </c>
      <c r="G29" s="37" t="s">
        <v>14</v>
      </c>
      <c r="H29" s="43">
        <f>SUMPRODUCT((Results_Summary!$C$98:$C$164="6 month")*(Results_Summary!$L$98:$L$164="negtive"))</f>
        <v>0</v>
      </c>
      <c r="I29" s="34">
        <f>SUMPRODUCT((Results_Summary!$C$98:$C$164="6 month")*(Results_Summary!$L$98:$L$164="positive"))</f>
        <v>0</v>
      </c>
      <c r="J29" s="43">
        <f>SUMPRODUCT((Results_Summary!$C$98:$C$164="6 month")*(Results_Summary!$L$98:$L$164="par"))</f>
        <v>0</v>
      </c>
      <c r="K29" s="41">
        <f>AVERAGE(Results_Summary!L102,Results_Summary!L116,Results_Summary!L130,Results_Summary!L144,Results_Summary!L158)</f>
        <v>-4.3999999999999997E-2</v>
      </c>
      <c r="L29" s="44"/>
      <c r="N29" s="37" t="s">
        <v>14</v>
      </c>
      <c r="O29" s="43">
        <f>SUMPRODUCT((Results_Summary!$C$98:$C$164="6 month")*(Results_Summary!$Y$98:$Y$164="negtive"))</f>
        <v>0</v>
      </c>
      <c r="P29" s="34">
        <f>SUMPRODUCT((Results_Summary!$C$98:$C$164="6 month")*(Results_Summary!$Y$98:$Y$164="positive"))</f>
        <v>0</v>
      </c>
      <c r="Q29" s="43">
        <f>SUMPRODUCT((Results_Summary!$C$98:$C$164="6 month")*(Results_Summary!$Y$98:$Y$164="par"))</f>
        <v>1</v>
      </c>
      <c r="R29" s="41">
        <f>AVERAGE(Results_Summary!Y102,Results_Summary!Y116,Results_Summary!Y130,Results_Summary!Y144,Results_Summary!Y158)</f>
        <v>-3.4272425370321269E-2</v>
      </c>
      <c r="T29" s="37" t="s">
        <v>14</v>
      </c>
      <c r="U29" s="43">
        <f>SUMPRODUCT((Results_Summary!$C$98:$C$164="6 month")*(Results_Summary!$AC$98:$AC$164="negtive"))</f>
        <v>0</v>
      </c>
      <c r="V29" s="34">
        <f>SUMPRODUCT((Results_Summary!$C$98:$C$164="6 month")*(Results_Summary!$AC$98:$AC$164="positive"))</f>
        <v>0</v>
      </c>
      <c r="W29" s="43">
        <f>SUMPRODUCT((Results_Summary!$C$98:$C$164="6 month")*(Results_Summary!$AC$98:$AC$164="par"))</f>
        <v>0</v>
      </c>
      <c r="X29" s="46">
        <f>AVERAGE(Results_Summary!AC102,Results_Summary!AC116,Results_Summary!AC130,Results_Summary!AC144,Results_Summary!AC158)</f>
        <v>-7.9000000000000001E-2</v>
      </c>
    </row>
    <row r="32" spans="1:24">
      <c r="A32" s="120" t="s">
        <v>91</v>
      </c>
      <c r="B32" s="120"/>
    </row>
    <row r="34" spans="1:24">
      <c r="A34" s="38" t="s">
        <v>88</v>
      </c>
      <c r="G34" s="38" t="s">
        <v>89</v>
      </c>
      <c r="N34" s="38" t="s">
        <v>88</v>
      </c>
      <c r="T34" s="38" t="s">
        <v>89</v>
      </c>
    </row>
    <row r="35" spans="1:24" ht="14.25" thickBot="1">
      <c r="A35" s="39" t="s">
        <v>81</v>
      </c>
      <c r="G35" s="39" t="s">
        <v>81</v>
      </c>
      <c r="N35" s="39" t="s">
        <v>82</v>
      </c>
      <c r="T35" s="39" t="s">
        <v>82</v>
      </c>
    </row>
    <row r="36" spans="1:24" ht="14.25" thickBot="1">
      <c r="A36" s="87"/>
      <c r="B36" s="87" t="s">
        <v>83</v>
      </c>
      <c r="C36" s="88" t="s">
        <v>84</v>
      </c>
      <c r="D36" s="89" t="s">
        <v>86</v>
      </c>
      <c r="E36" s="89" t="s">
        <v>85</v>
      </c>
      <c r="G36" s="87"/>
      <c r="H36" s="87" t="s">
        <v>83</v>
      </c>
      <c r="I36" s="88" t="s">
        <v>84</v>
      </c>
      <c r="J36" s="89" t="s">
        <v>86</v>
      </c>
      <c r="K36" s="89" t="s">
        <v>85</v>
      </c>
      <c r="L36" s="4"/>
      <c r="N36" s="87"/>
      <c r="O36" s="87" t="s">
        <v>83</v>
      </c>
      <c r="P36" s="88" t="s">
        <v>84</v>
      </c>
      <c r="Q36" s="89" t="s">
        <v>86</v>
      </c>
      <c r="R36" s="89" t="s">
        <v>85</v>
      </c>
      <c r="T36" s="87"/>
      <c r="U36" s="87" t="s">
        <v>83</v>
      </c>
      <c r="V36" s="88" t="s">
        <v>84</v>
      </c>
      <c r="W36" s="89" t="s">
        <v>86</v>
      </c>
      <c r="X36" s="89" t="s">
        <v>85</v>
      </c>
    </row>
    <row r="37" spans="1:24" ht="15.75" thickBot="1">
      <c r="A37" s="37" t="s">
        <v>13</v>
      </c>
      <c r="B37" s="34">
        <f>SUMPRODUCT((Results_Summary!$C$168:$C$234="3 month")*(Results_Summary!$H$168:$H$234="negtive"))</f>
        <v>0</v>
      </c>
      <c r="C37" s="34">
        <f>SUMPRODUCT((Results_Summary!$C$168:$C$234="3 month")*(Results_Summary!$H$168:$H$234="positive"))</f>
        <v>0</v>
      </c>
      <c r="D37" s="43">
        <f>SUMPRODUCT((Results_Summary!$C$168:$C$234="3 month")*(Results_Summary!$H$168:$H$234="par"))</f>
        <v>0</v>
      </c>
      <c r="E37" s="42">
        <f>AVERAGE(Results_Summary!H171,Results_Summary!H185,Results_Summary!H199,Results_Summary!H213,Results_Summary!H227)</f>
        <v>-6.166263247462416E-3</v>
      </c>
      <c r="G37" s="37" t="s">
        <v>13</v>
      </c>
      <c r="H37" s="34">
        <f>SUMPRODUCT((Results_Summary!$C$168:$C$234="3 month")*(Results_Summary!$L$168:$L$234="negtive"))</f>
        <v>0</v>
      </c>
      <c r="I37" s="34">
        <f>SUMPRODUCT((Results_Summary!$C$168:$C$234="3 month")*(Results_Summary!$L$168:$L$234="positive"))</f>
        <v>0</v>
      </c>
      <c r="J37" s="43">
        <f>SUMPRODUCT((Results_Summary!$C$168:$C$234="3 month")*(Results_Summary!$L$168:$L$234="par"))</f>
        <v>0</v>
      </c>
      <c r="K37" s="42">
        <f>AVERAGE(Results_Summary!L171,Results_Summary!L185,Results_Summary!L199,Results_Summary!L213,Results_Summary!L227)</f>
        <v>-1.7105164218228185E-2</v>
      </c>
      <c r="L37" s="44"/>
      <c r="N37" s="37" t="s">
        <v>13</v>
      </c>
      <c r="O37" s="34">
        <f>SUMPRODUCT((Results_Summary!$C$168:$C$234="3 month")*(Results_Summary!$Y$168:$Y$234="negtive"))</f>
        <v>0</v>
      </c>
      <c r="P37" s="34">
        <f>SUMPRODUCT((Results_Summary!$C$168:$C$234="3 month")*(Results_Summary!$Y$168:$Y$234="positive"))</f>
        <v>0</v>
      </c>
      <c r="Q37" s="43">
        <f>SUMPRODUCT((Results_Summary!$C$168:$C$234="3 month")*(Results_Summary!$Y$168:$Y$234="par"))</f>
        <v>0</v>
      </c>
      <c r="R37" s="42">
        <f>AVERAGE(Results_Summary!Y171,Results_Summary!Y185,Results_Summary!Y199,Results_Summary!Y213,Results_Summary!Y227)</f>
        <v>-1.9297164340901476E-2</v>
      </c>
      <c r="T37" s="37" t="s">
        <v>13</v>
      </c>
      <c r="U37" s="34">
        <f>SUMPRODUCT((Results_Summary!$C$168:$C$234="3 month")*(Results_Summary!$AC$168:$AC$234="negtive"))</f>
        <v>0</v>
      </c>
      <c r="V37" s="34">
        <f>SUMPRODUCT((Results_Summary!$C$168:$C$234="3 month")*(Results_Summary!$AC$168:$AC$234="positive"))</f>
        <v>0</v>
      </c>
      <c r="W37" s="43">
        <f>SUMPRODUCT((Results_Summary!$C$168:$C$234="3 month")*(Results_Summary!$AC$168:$AC$234="par"))</f>
        <v>0</v>
      </c>
      <c r="X37" s="42">
        <f>AVERAGE(Results_Summary!AC171,Results_Summary!AC185,Results_Summary!AC199,Results_Summary!AC213,Results_Summary!AC227)</f>
        <v>-5.0418201894679639E-2</v>
      </c>
    </row>
    <row r="38" spans="1:24" ht="15.75" thickBot="1">
      <c r="A38" s="37" t="s">
        <v>14</v>
      </c>
      <c r="B38" s="43">
        <f>SUMPRODUCT((Results_Summary!$C$168:$C$234="6 month")*(Results_Summary!$H$168:$H$234="negtive"))</f>
        <v>0</v>
      </c>
      <c r="C38" s="34">
        <f>SUMPRODUCT((Results_Summary!$C$168:$C$234="6 month")*(Results_Summary!$H$168:$H$234="positive"))</f>
        <v>0</v>
      </c>
      <c r="D38" s="43">
        <f>SUMPRODUCT((Results_Summary!$C$168:$C$234="6 month")*(Results_Summary!$H$168:$H$234="par"))</f>
        <v>0</v>
      </c>
      <c r="E38" s="41">
        <f>AVERAGE(Results_Summary!H172,Results_Summary!H186,Results_Summary!H200,Results_Summary!H214,Results_Summary!H228)</f>
        <v>-1.539862567362325E-2</v>
      </c>
      <c r="G38" s="37" t="s">
        <v>14</v>
      </c>
      <c r="H38" s="43">
        <f>SUMPRODUCT((Results_Summary!$C$168:$C$234="6 month")*(Results_Summary!$L$168:$L$234="negtive"))</f>
        <v>0</v>
      </c>
      <c r="I38" s="34">
        <f>SUMPRODUCT((Results_Summary!$C$168:$C$234="6 month")*(Results_Summary!$L$168:$L$234="positive"))</f>
        <v>0</v>
      </c>
      <c r="J38" s="43">
        <f>SUMPRODUCT((Results_Summary!$C$168:$C$234="6 month")*(Results_Summary!$L$168:$L$234="par"))</f>
        <v>0</v>
      </c>
      <c r="K38" s="41">
        <f>AVERAGE(Results_Summary!L172,Results_Summary!L186,Results_Summary!L200,Results_Summary!L214,Results_Summary!L228)</f>
        <v>-4.0180755063349935E-2</v>
      </c>
      <c r="L38" s="44"/>
      <c r="N38" s="37" t="s">
        <v>14</v>
      </c>
      <c r="O38" s="43">
        <f>SUMPRODUCT((Results_Summary!$C$168:$C$234="6 month")*(Results_Summary!$Y$168:$Y$234="negtive"))</f>
        <v>0</v>
      </c>
      <c r="P38" s="34">
        <f>SUMPRODUCT((Results_Summary!$C$168:$C$234="6 month")*(Results_Summary!$Y$168:$Y$234="positive"))</f>
        <v>0</v>
      </c>
      <c r="Q38" s="43">
        <f>SUMPRODUCT((Results_Summary!$C$168:$C$234="6 month")*(Results_Summary!$Y$168:$Y$234="par"))</f>
        <v>0</v>
      </c>
      <c r="R38" s="41">
        <f>AVERAGE(Results_Summary!Y172,Results_Summary!Y186,Results_Summary!Y200,Results_Summary!Y214,Results_Summary!Y228)</f>
        <v>-3.7212108796108992E-2</v>
      </c>
      <c r="T38" s="37" t="s">
        <v>14</v>
      </c>
      <c r="U38" s="43">
        <f>SUMPRODUCT((Results_Summary!$C$168:$C$234="6 month")*(Results_Summary!$AC$168:$AC$234="negtive"))</f>
        <v>0</v>
      </c>
      <c r="V38" s="34">
        <f>SUMPRODUCT((Results_Summary!$C$168:$C$234="6 month")*(Results_Summary!$AC$168:$AC$234="positive"))</f>
        <v>0</v>
      </c>
      <c r="W38" s="43">
        <f>SUMPRODUCT((Results_Summary!$C$168:$C$234="6 month")*(Results_Summary!$AC$168:$AC$234="par"))</f>
        <v>0</v>
      </c>
      <c r="X38" s="41">
        <f>AVERAGE(Results_Summary!AC172,Results_Summary!AC186,Results_Summary!AC200,Results_Summary!AC214,Results_Summary!AC228)</f>
        <v>-5.7771530539481863E-2</v>
      </c>
    </row>
  </sheetData>
  <mergeCells count="4">
    <mergeCell ref="A4:B4"/>
    <mergeCell ref="A14:B14"/>
    <mergeCell ref="A23:B23"/>
    <mergeCell ref="A32:B32"/>
  </mergeCells>
  <phoneticPr fontId="3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X38"/>
  <sheetViews>
    <sheetView workbookViewId="0">
      <pane ySplit="3" topLeftCell="A4" activePane="bottomLeft" state="frozen"/>
      <selection pane="bottomLeft" activeCell="B37" sqref="B37"/>
    </sheetView>
  </sheetViews>
  <sheetFormatPr defaultRowHeight="13.5"/>
  <cols>
    <col min="1" max="1" width="12" customWidth="1"/>
    <col min="2" max="2" width="12.625" customWidth="1"/>
    <col min="3" max="3" width="10.375" customWidth="1"/>
    <col min="4" max="4" width="13" customWidth="1"/>
    <col min="5" max="5" width="12.875" style="47" customWidth="1"/>
    <col min="9" max="9" width="12.375" customWidth="1"/>
    <col min="10" max="10" width="11.75" customWidth="1"/>
    <col min="11" max="11" width="9.125" style="47"/>
    <col min="12" max="12" width="6.25" customWidth="1"/>
    <col min="13" max="13" width="6.375" style="12" customWidth="1"/>
    <col min="14" max="14" width="17.75" customWidth="1"/>
    <col min="16" max="17" width="13.625" bestFit="1" customWidth="1"/>
    <col min="18" max="18" width="9.125" style="47"/>
    <col min="23" max="23" width="13.625" bestFit="1" customWidth="1"/>
    <col min="24" max="24" width="9.125" style="47"/>
  </cols>
  <sheetData>
    <row r="1" spans="1:20" ht="18">
      <c r="A1" s="3" t="s">
        <v>93</v>
      </c>
      <c r="M1"/>
    </row>
    <row r="2" spans="1:20">
      <c r="M2"/>
    </row>
    <row r="3" spans="1:20">
      <c r="M3"/>
    </row>
    <row r="4" spans="1:20">
      <c r="A4" s="120" t="s">
        <v>80</v>
      </c>
      <c r="B4" s="120"/>
    </row>
    <row r="6" spans="1:20" ht="14.25" thickBot="1">
      <c r="A6" s="39" t="s">
        <v>81</v>
      </c>
      <c r="N6" s="39" t="s">
        <v>82</v>
      </c>
    </row>
    <row r="7" spans="1:20" ht="14.25" thickBot="1">
      <c r="A7" s="87"/>
      <c r="B7" s="87" t="s">
        <v>83</v>
      </c>
      <c r="C7" s="88" t="s">
        <v>84</v>
      </c>
      <c r="D7" s="89" t="s">
        <v>86</v>
      </c>
      <c r="E7" s="89" t="s">
        <v>85</v>
      </c>
      <c r="N7" s="87"/>
      <c r="O7" s="87" t="s">
        <v>83</v>
      </c>
      <c r="P7" s="88" t="s">
        <v>84</v>
      </c>
      <c r="Q7" s="89" t="s">
        <v>86</v>
      </c>
      <c r="R7" s="89" t="s">
        <v>85</v>
      </c>
    </row>
    <row r="8" spans="1:20" ht="15.75" thickBot="1">
      <c r="A8" s="37" t="s">
        <v>13</v>
      </c>
      <c r="B8" s="4">
        <f>SUMPRODUCT((Results_Summary!C:C="3 month")*(Results_Summary!E:E="negtive"))</f>
        <v>0</v>
      </c>
      <c r="C8" s="34">
        <f>SUMPRODUCT((Results_Summary!C:C="3 month")*(Results_Summary!E:E="positive"))</f>
        <v>0</v>
      </c>
      <c r="D8" s="43">
        <f>SUMPRODUCT((Results_Summary!C:C="3 month")*(Results_Summary!E:E="par"))</f>
        <v>0</v>
      </c>
      <c r="E8" s="45">
        <f>AVERAGE(Results_Summary!E31,Results_Summary!E45,Results_Summary!E59,Results_Summary!E73,Results_Summary!E87,Results_Summary!E101,Results_Summary!E115,Results_Summary!E129,Results_Summary!E143,Results_Summary!E157,Results_Summary!E171,Results_Summary!E185,Results_Summary!E199,Results_Summary!E213,Results_Summary!E227)</f>
        <v>4.6134666861139192E-2</v>
      </c>
      <c r="N8" s="37" t="s">
        <v>13</v>
      </c>
      <c r="O8" s="4">
        <f>SUMPRODUCT((Results_Summary!T:T="3 month")*(Results_Summary!V:V="negtive"))</f>
        <v>0</v>
      </c>
      <c r="P8" s="34">
        <f>SUMPRODUCT((Results_Summary!T:T="3 month")*(Results_Summary!V:V="positive"))</f>
        <v>0</v>
      </c>
      <c r="Q8" s="43">
        <f>SUMPRODUCT((Results_Summary!T:T="3 month")*(Results_Summary!V:V="par"))</f>
        <v>0</v>
      </c>
      <c r="R8" s="45">
        <f>AVERAGE(Results_Summary!V31,Results_Summary!V45,Results_Summary!V59,Results_Summary!V73,Results_Summary!V87,Results_Summary!V101,Results_Summary!V115,Results_Summary!V129,Results_Summary!V143,Results_Summary!V157,Results_Summary!V171,Results_Summary!V185,Results_Summary!V199,Results_Summary!V213,Results_Summary!V227)</f>
        <v>6.6610092183948547E-2</v>
      </c>
    </row>
    <row r="9" spans="1:20" ht="15.75" thickBot="1">
      <c r="A9" s="37" t="s">
        <v>14</v>
      </c>
      <c r="B9" s="34">
        <f>SUMPRODUCT((Results_Summary!C:C="6 month")*(Results_Summary!E:E="negtive"))</f>
        <v>0</v>
      </c>
      <c r="C9" s="34">
        <f>SUMPRODUCT((Results_Summary!C:C="6 month")*(Results_Summary!E:E="positive"))</f>
        <v>0</v>
      </c>
      <c r="D9" s="34">
        <f>SUMPRODUCT((Results_Summary!D:D="6 month")*(Results_Summary!H:H="par"))</f>
        <v>0</v>
      </c>
      <c r="E9" s="46">
        <f>AVERAGE(Results_Summary!E32,Results_Summary!E46,Results_Summary!E60,Results_Summary!E74,Results_Summary!E88,Results_Summary!E102,Results_Summary!E116,Results_Summary!E130,Results_Summary!E144,Results_Summary!E158,Results_Summary!E172,Results_Summary!E186,Results_Summary!E200,Results_Summary!E214,Results_Summary!E228)</f>
        <v>6.0515789091924302E-2</v>
      </c>
      <c r="N9" s="37" t="s">
        <v>14</v>
      </c>
      <c r="O9" s="34">
        <f>SUMPRODUCT((Results_Summary!T:T="6 month")*(Results_Summary!V:V="negtive"))</f>
        <v>0</v>
      </c>
      <c r="P9" s="34">
        <f>SUMPRODUCT((Results_Summary!T:T="6 month")*(Results_Summary!V:V="positive"))</f>
        <v>0</v>
      </c>
      <c r="Q9" s="34">
        <f>SUMPRODUCT((Results_Summary!T:T="6 month")*(Results_Summary!V:V="par"))</f>
        <v>0</v>
      </c>
      <c r="R9" s="46">
        <f>AVERAGE(Results_Summary!V32,Results_Summary!V46,Results_Summary!V60,Results_Summary!V74,Results_Summary!V88,Results_Summary!V102,Results_Summary!V116,Results_Summary!V130,Results_Summary!V144,Results_Summary!V158,Results_Summary!V172,Results_Summary!V186,Results_Summary!V200,Results_Summary!V214,Results_Summary!V228)</f>
        <v>6.5108520569868905E-2</v>
      </c>
    </row>
    <row r="10" spans="1:20">
      <c r="B10">
        <v>0</v>
      </c>
      <c r="C10">
        <v>0</v>
      </c>
      <c r="D10">
        <v>0</v>
      </c>
      <c r="F10" s="4"/>
    </row>
    <row r="11" spans="1:20">
      <c r="B11">
        <v>1</v>
      </c>
      <c r="C11">
        <v>2</v>
      </c>
      <c r="D11">
        <v>0</v>
      </c>
    </row>
    <row r="14" spans="1:20">
      <c r="A14" s="120" t="s">
        <v>87</v>
      </c>
      <c r="B14" s="120"/>
    </row>
    <row r="16" spans="1:20">
      <c r="A16" s="38" t="s">
        <v>88</v>
      </c>
      <c r="G16" s="38" t="s">
        <v>89</v>
      </c>
      <c r="N16" s="38" t="s">
        <v>88</v>
      </c>
      <c r="T16" s="38" t="s">
        <v>89</v>
      </c>
    </row>
    <row r="17" spans="1:24" ht="14.25" thickBot="1">
      <c r="A17" s="39" t="s">
        <v>81</v>
      </c>
      <c r="G17" s="39" t="s">
        <v>81</v>
      </c>
      <c r="N17" s="39" t="s">
        <v>82</v>
      </c>
      <c r="T17" s="39" t="s">
        <v>82</v>
      </c>
    </row>
    <row r="18" spans="1:24" ht="14.25" thickBot="1">
      <c r="A18" s="87"/>
      <c r="B18" s="87" t="s">
        <v>83</v>
      </c>
      <c r="C18" s="88" t="s">
        <v>84</v>
      </c>
      <c r="D18" s="89" t="s">
        <v>86</v>
      </c>
      <c r="E18" s="89" t="s">
        <v>85</v>
      </c>
      <c r="G18" s="87"/>
      <c r="H18" s="87" t="s">
        <v>83</v>
      </c>
      <c r="I18" s="88" t="s">
        <v>84</v>
      </c>
      <c r="J18" s="89" t="s">
        <v>86</v>
      </c>
      <c r="K18" s="89" t="s">
        <v>85</v>
      </c>
      <c r="L18" s="4"/>
      <c r="N18" s="87"/>
      <c r="O18" s="87" t="s">
        <v>83</v>
      </c>
      <c r="P18" s="88" t="s">
        <v>84</v>
      </c>
      <c r="Q18" s="89" t="s">
        <v>86</v>
      </c>
      <c r="R18" s="89" t="s">
        <v>85</v>
      </c>
      <c r="T18" s="87"/>
      <c r="U18" s="87" t="s">
        <v>83</v>
      </c>
      <c r="V18" s="88" t="s">
        <v>84</v>
      </c>
      <c r="W18" s="89" t="s">
        <v>86</v>
      </c>
      <c r="X18" s="89" t="s">
        <v>85</v>
      </c>
    </row>
    <row r="19" spans="1:24" ht="15.75" thickBot="1">
      <c r="A19" s="37" t="s">
        <v>13</v>
      </c>
      <c r="B19" s="34">
        <f>SUMPRODUCT((Results_Summary!$C$28:$C$94="3 month")*(Results_Summary!$I$28:$I$94="negtive"))</f>
        <v>0</v>
      </c>
      <c r="C19" s="34">
        <f>SUMPRODUCT((Results_Summary!$C$28:$C$94="3 month")*(Results_Summary!$I$28:$I$94="positive"))</f>
        <v>0</v>
      </c>
      <c r="D19" s="43">
        <f>SUMPRODUCT((Results_Summary!$C$28:$C$94="3 month")*(Results_Summary!$I$28:$I$94="par"))</f>
        <v>0</v>
      </c>
      <c r="E19" s="45">
        <f>AVERAGE(Results_Summary!I31,Results_Summary!I45,Results_Summary!I59,Results_Summary!I73,Results_Summary!I87)</f>
        <v>0.1028258187945124</v>
      </c>
      <c r="G19" s="37" t="s">
        <v>13</v>
      </c>
      <c r="H19" s="34">
        <f>SUMPRODUCT((Results_Summary!$C$28:$C$94="3 month")*(Results_Summary!$M$28:$M$94="negtive"))</f>
        <v>0</v>
      </c>
      <c r="I19" s="34">
        <f>SUMPRODUCT((Results_Summary!$C$28:$C$94="3 month")*(Results_Summary!$M$28:$M$94="positive"))</f>
        <v>0</v>
      </c>
      <c r="J19" s="43">
        <f>SUMPRODUCT((Results_Summary!$C$28:$C$94="3 month")*(Results_Summary!$M$28:$M$94="par"))</f>
        <v>0</v>
      </c>
      <c r="K19" s="45">
        <f>AVERAGE(Results_Summary!M31,Results_Summary!M45,Results_Summary!M59,Results_Summary!M73,Results_Summary!M87)</f>
        <v>2.736798838760663E-2</v>
      </c>
      <c r="L19" s="44"/>
      <c r="N19" s="37" t="s">
        <v>13</v>
      </c>
      <c r="O19" s="34">
        <f>SUMPRODUCT((Results_Summary!$C$28:$C$94="3 month")*(Results_Summary!$Z$28:$Z$94="negtive"))</f>
        <v>0</v>
      </c>
      <c r="P19" s="34">
        <f>SUMPRODUCT((Results_Summary!$C$28:$C$94="3 month")*(Results_Summary!$Z$28:$Z$94="positive"))</f>
        <v>0</v>
      </c>
      <c r="Q19" s="43">
        <f>SUMPRODUCT((Results_Summary!$C$28:$C$94="3 month")*(Results_Summary!$Z$28:$Z$94="par"))</f>
        <v>0</v>
      </c>
      <c r="R19" s="45">
        <f>AVERAGE(Results_Summary!Z31,Results_Summary!Z45,Results_Summary!Z59,Results_Summary!Z73,Results_Summary!Z87)</f>
        <v>7.6648570331457874E-2</v>
      </c>
      <c r="T19" s="37" t="s">
        <v>13</v>
      </c>
      <c r="U19" s="34">
        <f>SUMPRODUCT((Results_Summary!$C$28:$C$94="3 month")*(Results_Summary!$AD$28:$AD$94="negtive"))</f>
        <v>0</v>
      </c>
      <c r="V19" s="34">
        <f>SUMPRODUCT((Results_Summary!$C$28:$C$94="3 month")*(Results_Summary!$AD$28:$AD$94="positive"))</f>
        <v>0</v>
      </c>
      <c r="W19" s="43">
        <f>SUMPRODUCT((Results_Summary!$C$28:$C$94="3 month")*(Results_Summary!$AD$28:$AD$94="par"))</f>
        <v>0</v>
      </c>
      <c r="X19" s="45">
        <f>AVERAGE(Results_Summary!AD31,Results_Summary!AD45,Results_Summary!AD59,Results_Summary!AD73,Results_Summary!AD87)</f>
        <v>1.5362798899838583E-2</v>
      </c>
    </row>
    <row r="20" spans="1:24" ht="15.75" thickBot="1">
      <c r="A20" s="37" t="s">
        <v>14</v>
      </c>
      <c r="B20" s="43">
        <f>SUMPRODUCT((Results_Summary!$C$28:$C$94="6 month")*(Results_Summary!$I$28:$I$94="negtive"))</f>
        <v>0</v>
      </c>
      <c r="C20" s="34">
        <f>SUMPRODUCT((Results_Summary!$C$28:$C$94="6 month")*(Results_Summary!$I$28:$I$94="positive"))</f>
        <v>0</v>
      </c>
      <c r="D20" s="43">
        <f>SUMPRODUCT((Results_Summary!$C$28:$C$94="6 month")*(Results_Summary!$I$28:$I$94="par"))</f>
        <v>0</v>
      </c>
      <c r="E20" s="46">
        <f>AVERAGE(Results_Summary!I32,Results_Summary!I46,Results_Summary!I60,Results_Summary!I74,Results_Summary!I88)</f>
        <v>5.2160930770489257E-2</v>
      </c>
      <c r="G20" s="37" t="s">
        <v>14</v>
      </c>
      <c r="H20" s="43">
        <f>SUMPRODUCT((Results_Summary!$C$28:$C$94="6 month")*(Results_Summary!$M$28:$M$94="negtive"))</f>
        <v>0</v>
      </c>
      <c r="I20" s="34">
        <f>SUMPRODUCT((Results_Summary!$C$28:$C$94="6 month")*(Results_Summary!$M$28:$M$94="positive"))</f>
        <v>0</v>
      </c>
      <c r="J20" s="43">
        <f>SUMPRODUCT((Results_Summary!$C$28:$C$94="6 month")*(Results_Summary!$M$28:$M$94="par"))</f>
        <v>0</v>
      </c>
      <c r="K20" s="46">
        <f>AVERAGE(Results_Summary!M32,Results_Summary!M46,Results_Summary!M60,Results_Summary!M74,Results_Summary!M88)</f>
        <v>1.5742980245538912E-2</v>
      </c>
      <c r="L20" s="44"/>
      <c r="N20" s="37" t="s">
        <v>14</v>
      </c>
      <c r="O20" s="43">
        <f>SUMPRODUCT((Results_Summary!$C$28:$C$94="6 month")*(Results_Summary!$Z$28:$Z$94="negtive"))</f>
        <v>0</v>
      </c>
      <c r="P20" s="34">
        <f>SUMPRODUCT((Results_Summary!$C$28:$C$94="6 month")*(Results_Summary!$Z$28:$Z$94="positive"))</f>
        <v>0</v>
      </c>
      <c r="Q20" s="43">
        <f>SUMPRODUCT((Results_Summary!$C$28:$C$94="6 month")*(Results_Summary!$Z$28:$Z$94="par"))</f>
        <v>0</v>
      </c>
      <c r="R20" s="46">
        <f>AVERAGE(Results_Summary!Z32,Results_Summary!Z46,Results_Summary!Z60,Results_Summary!Z74,Results_Summary!Z88)</f>
        <v>2.5701351692917408E-2</v>
      </c>
      <c r="T20" s="37" t="s">
        <v>14</v>
      </c>
      <c r="U20" s="43">
        <f>SUMPRODUCT((Results_Summary!$C$28:$C$94="6 month")*(Results_Summary!$AD$28:$AD$94="negtive"))</f>
        <v>0</v>
      </c>
      <c r="V20" s="34">
        <f>SUMPRODUCT((Results_Summary!$C$28:$C$94="6 month")*(Results_Summary!$AD$28:$AD$94="positive"))</f>
        <v>0</v>
      </c>
      <c r="W20" s="43">
        <f>SUMPRODUCT((Results_Summary!$C$28:$C$94="6 month")*(Results_Summary!$AD$28:$AD$94="par"))</f>
        <v>0</v>
      </c>
      <c r="X20" s="46">
        <f>AVERAGE(Results_Summary!AD32,Results_Summary!AD46,Results_Summary!AD60,Results_Summary!AD74,Results_Summary!AD88)</f>
        <v>-1.0114568414404014E-2</v>
      </c>
    </row>
    <row r="21" spans="1:24">
      <c r="C21">
        <v>0</v>
      </c>
    </row>
    <row r="22" spans="1:24">
      <c r="C22">
        <v>1</v>
      </c>
    </row>
    <row r="23" spans="1:24">
      <c r="A23" s="120" t="s">
        <v>90</v>
      </c>
      <c r="B23" s="120"/>
    </row>
    <row r="25" spans="1:24">
      <c r="A25" s="38" t="s">
        <v>88</v>
      </c>
      <c r="G25" s="38" t="s">
        <v>89</v>
      </c>
      <c r="N25" s="38" t="s">
        <v>88</v>
      </c>
      <c r="T25" s="38" t="s">
        <v>89</v>
      </c>
    </row>
    <row r="26" spans="1:24" ht="14.25" thickBot="1">
      <c r="A26" s="39" t="s">
        <v>81</v>
      </c>
      <c r="G26" s="39" t="s">
        <v>81</v>
      </c>
      <c r="N26" s="39" t="s">
        <v>82</v>
      </c>
      <c r="T26" s="39" t="s">
        <v>82</v>
      </c>
    </row>
    <row r="27" spans="1:24" ht="14.25" thickBot="1">
      <c r="A27" s="87"/>
      <c r="B27" s="87" t="s">
        <v>83</v>
      </c>
      <c r="C27" s="88" t="s">
        <v>84</v>
      </c>
      <c r="D27" s="89" t="s">
        <v>86</v>
      </c>
      <c r="E27" s="89" t="s">
        <v>85</v>
      </c>
      <c r="G27" s="87"/>
      <c r="H27" s="87" t="s">
        <v>83</v>
      </c>
      <c r="I27" s="88" t="s">
        <v>84</v>
      </c>
      <c r="J27" s="89" t="s">
        <v>86</v>
      </c>
      <c r="K27" s="89" t="s">
        <v>85</v>
      </c>
      <c r="L27" s="4"/>
      <c r="N27" s="87"/>
      <c r="O27" s="87" t="s">
        <v>83</v>
      </c>
      <c r="P27" s="88" t="s">
        <v>84</v>
      </c>
      <c r="Q27" s="89" t="s">
        <v>86</v>
      </c>
      <c r="R27" s="89" t="s">
        <v>85</v>
      </c>
      <c r="T27" s="87"/>
      <c r="U27" s="87" t="s">
        <v>83</v>
      </c>
      <c r="V27" s="88" t="s">
        <v>84</v>
      </c>
      <c r="W27" s="89" t="s">
        <v>86</v>
      </c>
      <c r="X27" s="89" t="s">
        <v>85</v>
      </c>
    </row>
    <row r="28" spans="1:24" ht="15.75" thickBot="1">
      <c r="A28" s="37" t="s">
        <v>13</v>
      </c>
      <c r="B28" s="34">
        <f>SUMPRODUCT((Results_Summary!$C$98:$C$164="3 month")*(Results_Summary!$I$98:$I$164="negtive"))</f>
        <v>0</v>
      </c>
      <c r="C28" s="34">
        <f>SUMPRODUCT((Results_Summary!$C$98:$C$164="3 month")*(Results_Summary!$I$98:$I$164="positive"))</f>
        <v>0</v>
      </c>
      <c r="D28" s="43">
        <f>SUMPRODUCT((Results_Summary!$C$98:$C$164="3 month")*(Results_Summary!$I$98:$I$164="par"))</f>
        <v>0</v>
      </c>
      <c r="E28" s="45">
        <f>AVERAGE(Results_Summary!I101,Results_Summary!I115,Results_Summary!I129,Results_Summary!I143,Results_Summary!I157)</f>
        <v>0.13541663687055339</v>
      </c>
      <c r="G28" s="37" t="s">
        <v>13</v>
      </c>
      <c r="H28" s="34">
        <f>SUMPRODUCT((Results_Summary!$C$98:$C$164="3 month")*(Results_Summary!$M$98:$M$164="negtive"))</f>
        <v>0</v>
      </c>
      <c r="I28" s="34">
        <f>SUMPRODUCT((Results_Summary!$C$98:$C$164="3 month")*(Results_Summary!$M$98:$M$164="positive"))</f>
        <v>0</v>
      </c>
      <c r="J28" s="43">
        <f>SUMPRODUCT((Results_Summary!$C$98:$C$164="3 month")*(Results_Summary!$M$98:$M$164="par"))</f>
        <v>0</v>
      </c>
      <c r="K28" s="45">
        <f>AVERAGE(Results_Summary!M101,Results_Summary!M115,Results_Summary!M129,Results_Summary!M143,Results_Summary!M157)</f>
        <v>6.5998853980876265E-2</v>
      </c>
      <c r="L28" s="44"/>
      <c r="N28" s="37" t="s">
        <v>13</v>
      </c>
      <c r="O28" s="34">
        <f>SUMPRODUCT((Results_Summary!$C$98:$C$164="3 month")*(Results_Summary!$Z$98:$Z$164="negtive"))</f>
        <v>0</v>
      </c>
      <c r="P28" s="34">
        <f>SUMPRODUCT((Results_Summary!$C$98:$C$164="3 month")*(Results_Summary!$Z$98:$Z$164="positive"))</f>
        <v>0</v>
      </c>
      <c r="Q28" s="43">
        <f>SUMPRODUCT((Results_Summary!$C$98:$C$164="3 month")*(Results_Summary!$Z$98:$Z$164="par"))</f>
        <v>0</v>
      </c>
      <c r="R28" s="45">
        <f>AVERAGE(Results_Summary!Z101,Results_Summary!Z115,Results_Summary!Z129,Results_Summary!Z143,Results_Summary!Z157)</f>
        <v>2.9681687490426129E-2</v>
      </c>
      <c r="T28" s="37" t="s">
        <v>13</v>
      </c>
      <c r="U28" s="34">
        <f>SUMPRODUCT((Results_Summary!$C$98:$C$164="3 month")*(Results_Summary!$AD$98:$AD$164="negtive"))</f>
        <v>0</v>
      </c>
      <c r="V28" s="34">
        <f>SUMPRODUCT((Results_Summary!$C$98:$C$164="3 month")*(Results_Summary!$AD$98:$AD$164="positive"))</f>
        <v>0</v>
      </c>
      <c r="W28" s="43">
        <f>SUMPRODUCT((Results_Summary!$C$98:$C$164="3 month")*(Results_Summary!$AD$98:$AD$164="par"))</f>
        <v>0</v>
      </c>
      <c r="X28" s="45">
        <f>AVERAGE(Results_Summary!AD101,Results_Summary!AD115,Results_Summary!AD129,Results_Summary!AD143,Results_Summary!AD157)</f>
        <v>2.6704495575434258E-2</v>
      </c>
    </row>
    <row r="29" spans="1:24" ht="15.75" thickBot="1">
      <c r="A29" s="37" t="s">
        <v>14</v>
      </c>
      <c r="B29" s="43">
        <f>SUMPRODUCT((Results_Summary!$C$98:$C$164="6 month")*(Results_Summary!$I$98:$I$164="negtive"))</f>
        <v>0</v>
      </c>
      <c r="C29" s="34">
        <f>SUMPRODUCT((Results_Summary!$C$98:$C$164="6 month")*(Results_Summary!$I$98:$I$164="positive"))</f>
        <v>0</v>
      </c>
      <c r="D29" s="43">
        <f>SUMPRODUCT((Results_Summary!$C$98:$C$164="6 month")*(Results_Summary!$I$98:$I$164="par"))</f>
        <v>0</v>
      </c>
      <c r="E29" s="46">
        <f>AVERAGE(Results_Summary!I102,Results_Summary!I116,Results_Summary!I130,Results_Summary!I144,Results_Summary!I158)</f>
        <v>0.1312750840584104</v>
      </c>
      <c r="G29" s="37" t="s">
        <v>14</v>
      </c>
      <c r="H29" s="43">
        <f>SUMPRODUCT((Results_Summary!$C$98:$C$164="6 month")*(Results_Summary!$M$98:$M$164="negtive"))</f>
        <v>0</v>
      </c>
      <c r="I29" s="34">
        <f>SUMPRODUCT((Results_Summary!$C$98:$C$164="6 month")*(Results_Summary!$M$98:$M$164="positive"))</f>
        <v>0</v>
      </c>
      <c r="J29" s="43">
        <f>SUMPRODUCT((Results_Summary!$C$98:$C$164="6 month")*(Results_Summary!$M$98:$M$164="par"))</f>
        <v>0</v>
      </c>
      <c r="K29" s="46">
        <f>AVERAGE(Results_Summary!M102,Results_Summary!M116,Results_Summary!M130,Results_Summary!M144,Results_Summary!M158)</f>
        <v>0.132763001849004</v>
      </c>
      <c r="L29" s="44"/>
      <c r="N29" s="37" t="s">
        <v>14</v>
      </c>
      <c r="O29" s="43">
        <f>SUMPRODUCT((Results_Summary!$C$98:$C$164="6 month")*(Results_Summary!$Z$98:$Z$164="negtive"))</f>
        <v>0</v>
      </c>
      <c r="P29" s="34">
        <f>SUMPRODUCT((Results_Summary!$C$98:$C$164="6 month")*(Results_Summary!$Z$98:$Z$164="positive"))</f>
        <v>0</v>
      </c>
      <c r="Q29" s="43">
        <f>SUMPRODUCT((Results_Summary!$C$98:$C$164="6 month")*(Results_Summary!$Z$98:$Z$164="par"))</f>
        <v>0</v>
      </c>
      <c r="R29" s="46">
        <f>AVERAGE(Results_Summary!Z102,Results_Summary!Z116,Results_Summary!Z130,Results_Summary!Z144,Results_Summary!Z158)</f>
        <v>2.3410693037708631E-2</v>
      </c>
      <c r="T29" s="37" t="s">
        <v>14</v>
      </c>
      <c r="U29" s="43">
        <f>SUMPRODUCT((Results_Summary!$C$98:$C$164="6 month")*(Results_Summary!$AD$98:$AD$164="negtive"))</f>
        <v>0</v>
      </c>
      <c r="V29" s="34">
        <f>SUMPRODUCT((Results_Summary!$C$98:$C$164="6 month")*(Results_Summary!$AD$98:$AD$164="positive"))</f>
        <v>0</v>
      </c>
      <c r="W29" s="43">
        <f>SUMPRODUCT((Results_Summary!$C$98:$C$164="6 month")*(Results_Summary!$AD$98:$AD$164="par"))</f>
        <v>0</v>
      </c>
      <c r="X29" s="46">
        <f>AVERAGE(Results_Summary!AD102,Results_Summary!AD116,Results_Summary!AD130,Results_Summary!AD144,Results_Summary!AD158)</f>
        <v>2.9201282502738814E-2</v>
      </c>
    </row>
    <row r="32" spans="1:24">
      <c r="A32" s="120" t="s">
        <v>91</v>
      </c>
      <c r="B32" s="120"/>
    </row>
    <row r="34" spans="1:24">
      <c r="A34" s="38" t="s">
        <v>88</v>
      </c>
      <c r="G34" s="38" t="s">
        <v>89</v>
      </c>
      <c r="N34" s="38" t="s">
        <v>88</v>
      </c>
      <c r="T34" s="38" t="s">
        <v>89</v>
      </c>
    </row>
    <row r="35" spans="1:24" ht="14.25" thickBot="1">
      <c r="A35" s="39" t="s">
        <v>81</v>
      </c>
      <c r="G35" s="39" t="s">
        <v>81</v>
      </c>
      <c r="N35" s="39" t="s">
        <v>82</v>
      </c>
      <c r="T35" s="39" t="s">
        <v>82</v>
      </c>
    </row>
    <row r="36" spans="1:24" ht="14.25" thickBot="1">
      <c r="A36" s="87"/>
      <c r="B36" s="87" t="s">
        <v>83</v>
      </c>
      <c r="C36" s="88" t="s">
        <v>84</v>
      </c>
      <c r="D36" s="89" t="s">
        <v>86</v>
      </c>
      <c r="E36" s="89" t="s">
        <v>85</v>
      </c>
      <c r="G36" s="87"/>
      <c r="H36" s="87" t="s">
        <v>83</v>
      </c>
      <c r="I36" s="88" t="s">
        <v>84</v>
      </c>
      <c r="J36" s="89" t="s">
        <v>86</v>
      </c>
      <c r="K36" s="89" t="s">
        <v>85</v>
      </c>
      <c r="L36" s="4"/>
      <c r="N36" s="87"/>
      <c r="O36" s="87" t="s">
        <v>83</v>
      </c>
      <c r="P36" s="88" t="s">
        <v>84</v>
      </c>
      <c r="Q36" s="89" t="s">
        <v>86</v>
      </c>
      <c r="R36" s="89" t="s">
        <v>85</v>
      </c>
      <c r="T36" s="87"/>
      <c r="U36" s="87" t="s">
        <v>83</v>
      </c>
      <c r="V36" s="88" t="s">
        <v>84</v>
      </c>
      <c r="W36" s="89" t="s">
        <v>86</v>
      </c>
      <c r="X36" s="89" t="s">
        <v>85</v>
      </c>
    </row>
    <row r="37" spans="1:24" ht="15.75" thickBot="1">
      <c r="A37" s="37" t="s">
        <v>13</v>
      </c>
      <c r="B37" s="34">
        <f>SUMPRODUCT((Results_Summary!$C$168:$C$234="3 month")*(Results_Summary!$I$168:$I$234="negtive"))</f>
        <v>0</v>
      </c>
      <c r="C37" s="34">
        <f>SUMPRODUCT((Results_Summary!$C$168:$C$234="3 month")*(Results_Summary!$I$168:$I$234="positive"))</f>
        <v>0</v>
      </c>
      <c r="D37" s="43">
        <f>SUMPRODUCT((Results_Summary!$C$168:$C$234="3 month")*(Results_Summary!$I$168:$I$234="par"))</f>
        <v>0</v>
      </c>
      <c r="E37" s="45">
        <f>AVERAGE(Results_Summary!I171,Results_Summary!I185,Results_Summary!I199,Results_Summary!I213,Results_Summary!I227)</f>
        <v>4.6392537333941608E-2</v>
      </c>
      <c r="G37" s="37" t="s">
        <v>13</v>
      </c>
      <c r="H37" s="34">
        <f>SUMPRODUCT((Results_Summary!$C$168:$C$234="3 month")*(Results_Summary!$M$168:$M$234="negtive"))</f>
        <v>0</v>
      </c>
      <c r="I37" s="34">
        <f>SUMPRODUCT((Results_Summary!$C$168:$C$234="3 month")*(Results_Summary!$M$168:$M$234="positive"))</f>
        <v>0</v>
      </c>
      <c r="J37" s="43">
        <f>SUMPRODUCT((Results_Summary!$C$168:$C$234="3 month")*(Results_Summary!$M$168:$M$234="par"))</f>
        <v>0</v>
      </c>
      <c r="K37" s="45">
        <f>AVERAGE(Results_Summary!M171,Results_Summary!M185,Results_Summary!M199,Results_Summary!M213,Results_Summary!M227)</f>
        <v>8.2231522513643476E-2</v>
      </c>
      <c r="L37" s="44"/>
      <c r="N37" s="37" t="s">
        <v>13</v>
      </c>
      <c r="O37" s="34">
        <f>SUMPRODUCT((Results_Summary!$C$168:$C$234="3 month")*(Results_Summary!$Z$168:$Z$234="negtive"))</f>
        <v>0</v>
      </c>
      <c r="P37" s="34">
        <f>SUMPRODUCT((Results_Summary!$C$168:$C$234="3 month")*(Results_Summary!$Z$168:$Z$234="positive"))</f>
        <v>0</v>
      </c>
      <c r="Q37" s="43">
        <f>SUMPRODUCT((Results_Summary!$C$168:$C$234="3 month")*(Results_Summary!$Z$168:$Z$234="par"))</f>
        <v>0</v>
      </c>
      <c r="R37" s="45">
        <f>AVERAGE(Results_Summary!Z171,Results_Summary!Z185,Results_Summary!Z199,Results_Summary!Z213,Results_Summary!Z227)</f>
        <v>-3.3778399790954018E-2</v>
      </c>
      <c r="T37" s="37" t="s">
        <v>13</v>
      </c>
      <c r="U37" s="34">
        <f>SUMPRODUCT((Results_Summary!$C$168:$C$234="3 month")*(Results_Summary!$AD$168:$AD$234="negtive"))</f>
        <v>0</v>
      </c>
      <c r="V37" s="34">
        <f>SUMPRODUCT((Results_Summary!$C$168:$C$234="3 month")*(Results_Summary!$AD$168:$AD$234="positive"))</f>
        <v>0</v>
      </c>
      <c r="W37" s="43">
        <f>SUMPRODUCT((Results_Summary!$C$168:$C$234="3 month")*(Results_Summary!$AD$168:$AD$234="par"))</f>
        <v>0</v>
      </c>
      <c r="X37" s="45">
        <f>AVERAGE(Results_Summary!AD171,Results_Summary!AD185,Results_Summary!AD199,Results_Summary!AD213,Results_Summary!AD227)</f>
        <v>-1.0733776005616336E-2</v>
      </c>
    </row>
    <row r="38" spans="1:24" ht="15.75" thickBot="1">
      <c r="A38" s="37" t="s">
        <v>14</v>
      </c>
      <c r="B38" s="43">
        <f>SUMPRODUCT((Results_Summary!$C$168:$C$234="6 month")*(Results_Summary!$I$168:$I$234="negtive"))</f>
        <v>0</v>
      </c>
      <c r="C38" s="34">
        <f>SUMPRODUCT((Results_Summary!$C$168:$C$234="6 month")*(Results_Summary!$I$168:$I$234="positive"))</f>
        <v>0</v>
      </c>
      <c r="D38" s="43">
        <f>SUMPRODUCT((Results_Summary!$C$168:$C$234="6 month")*(Results_Summary!$I$168:$I$234="par"))</f>
        <v>0</v>
      </c>
      <c r="E38" s="46">
        <f>AVERAGE(Results_Summary!I172,Results_Summary!I186,Results_Summary!I200,Results_Summary!I214,Results_Summary!I228)</f>
        <v>5.0629270837183583E-2</v>
      </c>
      <c r="G38" s="37" t="s">
        <v>14</v>
      </c>
      <c r="H38" s="43">
        <f>SUMPRODUCT((Results_Summary!$C$168:$C$234="6 month")*(Results_Summary!$M$168:$M$234="negtive"))</f>
        <v>0</v>
      </c>
      <c r="I38" s="34">
        <f>SUMPRODUCT((Results_Summary!$C$168:$C$234="6 month")*(Results_Summary!$M$168:$M$234="positive"))</f>
        <v>0</v>
      </c>
      <c r="J38" s="43">
        <f>SUMPRODUCT((Results_Summary!$C$168:$C$234="6 month")*(Results_Summary!$M$168:$M$234="par"))</f>
        <v>0</v>
      </c>
      <c r="K38" s="46">
        <f>AVERAGE(Results_Summary!M172,Results_Summary!M186,Results_Summary!M200,Results_Summary!M214,Results_Summary!M228)</f>
        <v>0.10199555341668813</v>
      </c>
      <c r="L38" s="44"/>
      <c r="N38" s="37" t="s">
        <v>14</v>
      </c>
      <c r="O38" s="43">
        <f>SUMPRODUCT((Results_Summary!$C$168:$C$234="6 month")*(Results_Summary!$Z$168:$Z$234="negtive"))</f>
        <v>0</v>
      </c>
      <c r="P38" s="34">
        <f>SUMPRODUCT((Results_Summary!$C$168:$C$234="6 month")*(Results_Summary!$Z$168:$Z$234="positive"))</f>
        <v>0</v>
      </c>
      <c r="Q38" s="43">
        <f>SUMPRODUCT((Results_Summary!$C$168:$C$234="6 month")*(Results_Summary!$Z$168:$Z$234="par"))</f>
        <v>0</v>
      </c>
      <c r="R38" s="46">
        <f>AVERAGE(Results_Summary!Z172,Results_Summary!Z186,Results_Summary!Z200,Results_Summary!Z214,Results_Summary!Z228)</f>
        <v>-4.9262255849617499E-2</v>
      </c>
      <c r="T38" s="37" t="s">
        <v>14</v>
      </c>
      <c r="U38" s="43">
        <f>SUMPRODUCT((Results_Summary!$C$168:$C$234="6 month")*(Results_Summary!$AD$168:$AD$234="negtive"))</f>
        <v>0</v>
      </c>
      <c r="V38" s="34">
        <f>SUMPRODUCT((Results_Summary!$C$168:$C$234="6 month")*(Results_Summary!$AD$168:$AD$234="positive"))</f>
        <v>0</v>
      </c>
      <c r="W38" s="43">
        <f>SUMPRODUCT((Results_Summary!$C$168:$C$234="6 month")*(Results_Summary!$AD$168:$AD$234="par"))</f>
        <v>0</v>
      </c>
      <c r="X38" s="46">
        <f>AVERAGE(Results_Summary!AD172,Results_Summary!AD186,Results_Summary!AD200,Results_Summary!AD214,Results_Summary!AD228)</f>
        <v>-1.3052450283624138E-3</v>
      </c>
    </row>
  </sheetData>
  <mergeCells count="4">
    <mergeCell ref="A4:B4"/>
    <mergeCell ref="A14:B14"/>
    <mergeCell ref="A23:B23"/>
    <mergeCell ref="A32:B32"/>
  </mergeCells>
  <phoneticPr fontId="3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X38"/>
  <sheetViews>
    <sheetView workbookViewId="0">
      <pane ySplit="3" topLeftCell="A4" activePane="bottomLeft" state="frozen"/>
      <selection activeCell="O14" sqref="O14"/>
      <selection pane="bottomLeft" activeCell="B37" sqref="B37"/>
    </sheetView>
  </sheetViews>
  <sheetFormatPr defaultRowHeight="13.5"/>
  <cols>
    <col min="1" max="1" width="12" customWidth="1"/>
    <col min="2" max="2" width="12.625" customWidth="1"/>
    <col min="3" max="3" width="10.375" customWidth="1"/>
    <col min="4" max="4" width="13" customWidth="1"/>
    <col min="5" max="5" width="12.875" customWidth="1"/>
    <col min="8" max="9" width="11.125" customWidth="1"/>
    <col min="10" max="10" width="11.75" customWidth="1"/>
    <col min="12" max="12" width="6.25" customWidth="1"/>
    <col min="13" max="13" width="6.375" style="12" customWidth="1"/>
    <col min="14" max="14" width="17.75" customWidth="1"/>
    <col min="16" max="17" width="13.625" bestFit="1" customWidth="1"/>
    <col min="23" max="23" width="13.625" bestFit="1" customWidth="1"/>
  </cols>
  <sheetData>
    <row r="1" spans="1:20" ht="18">
      <c r="A1" s="3" t="s">
        <v>93</v>
      </c>
      <c r="M1"/>
    </row>
    <row r="2" spans="1:20">
      <c r="M2"/>
    </row>
    <row r="3" spans="1:20">
      <c r="M3"/>
    </row>
    <row r="4" spans="1:20">
      <c r="A4" s="120" t="s">
        <v>80</v>
      </c>
      <c r="B4" s="120"/>
    </row>
    <row r="6" spans="1:20" ht="14.25" thickBot="1">
      <c r="A6" s="39" t="s">
        <v>81</v>
      </c>
      <c r="N6" s="39" t="s">
        <v>82</v>
      </c>
    </row>
    <row r="7" spans="1:20" ht="14.25" thickBot="1">
      <c r="A7" s="87"/>
      <c r="B7" s="87" t="s">
        <v>83</v>
      </c>
      <c r="C7" s="88" t="s">
        <v>84</v>
      </c>
      <c r="D7" s="89" t="s">
        <v>86</v>
      </c>
      <c r="E7" s="89" t="s">
        <v>85</v>
      </c>
      <c r="N7" s="87"/>
      <c r="O7" s="87" t="s">
        <v>83</v>
      </c>
      <c r="P7" s="88" t="s">
        <v>84</v>
      </c>
      <c r="Q7" s="89" t="s">
        <v>86</v>
      </c>
      <c r="R7" s="89" t="s">
        <v>85</v>
      </c>
    </row>
    <row r="8" spans="1:20" ht="15.75" thickBot="1">
      <c r="A8" s="37" t="s">
        <v>13</v>
      </c>
      <c r="B8" s="4">
        <f>SUMPRODUCT((Results_Summary!C:C="3 month")*(Results_Summary!G:G="negtive"))</f>
        <v>0</v>
      </c>
      <c r="C8" s="34">
        <f>SUMPRODUCT((Results_Summary!C:C="3 month")*(Results_Summary!G:G="positive"))</f>
        <v>0</v>
      </c>
      <c r="D8" s="43">
        <f>SUMPRODUCT((Results_Summary!C:C="3 month")*(Results_Summary!G:G="par"))</f>
        <v>0</v>
      </c>
      <c r="E8" s="42">
        <f>AVERAGE(Results_Summary!G31,Results_Summary!G45,Results_Summary!G59,Results_Summary!G73,Results_Summary!G87,Results_Summary!G101,Results_Summary!G115,Results_Summary!G129,Results_Summary!G143,Results_Summary!G157,Results_Summary!G171,Results_Summary!G185,Results_Summary!G199,Results_Summary!G213,Results_Summary!G227)</f>
        <v>2.6001498005359912E-2</v>
      </c>
      <c r="H8" s="40"/>
      <c r="N8" s="37" t="s">
        <v>13</v>
      </c>
      <c r="O8" s="4">
        <f>SUMPRODUCT((Results_Summary!T:T="3 month")*(Results_Summary!X:X="negtive"))</f>
        <v>0</v>
      </c>
      <c r="P8" s="34">
        <f>SUMPRODUCT((Results_Summary!T:T="3 month")*(Results_Summary!X:X="positive"))</f>
        <v>0</v>
      </c>
      <c r="Q8" s="43">
        <f>SUMPRODUCT((Results_Summary!T:T="3 month")*(Results_Summary!X:X="par"))</f>
        <v>1</v>
      </c>
      <c r="R8" s="42">
        <f>AVERAGE(Results_Summary!X31,Results_Summary!X45,Results_Summary!X59,Results_Summary!X73,Results_Summary!X87,Results_Summary!X101,Results_Summary!X115,Results_Summary!X129,Results_Summary!X143,Results_Summary!X157,Results_Summary!X171,Results_Summary!X185,Results_Summary!X199,Results_Summary!X213,Results_Summary!X227)</f>
        <v>2.9870504323276079E-2</v>
      </c>
    </row>
    <row r="9" spans="1:20" ht="15.75" thickBot="1">
      <c r="A9" s="37" t="s">
        <v>14</v>
      </c>
      <c r="B9" s="34">
        <f>SUMPRODUCT((Results_Summary!C:C="6 month")*(Results_Summary!G:G="negtive"))</f>
        <v>0</v>
      </c>
      <c r="C9" s="34">
        <f>SUMPRODUCT((Results_Summary!C:C="6 month")*(Results_Summary!G:G="positive"))</f>
        <v>0</v>
      </c>
      <c r="D9" s="34">
        <f>SUMPRODUCT((Results_Summary!D:D="6 month")*(Results_Summary!H:H="par"))</f>
        <v>0</v>
      </c>
      <c r="E9" s="41">
        <f>AVERAGE(Results_Summary!G32,Results_Summary!G46,Results_Summary!G60,Results_Summary!G74,Results_Summary!G88,Results_Summary!G102,Results_Summary!G116,Results_Summary!G130,Results_Summary!G144,Results_Summary!G158,Results_Summary!G172,Results_Summary!G186,Results_Summary!G200,Results_Summary!G214,Results_Summary!G227)</f>
        <v>4.4031941802570654E-2</v>
      </c>
      <c r="N9" s="37" t="s">
        <v>14</v>
      </c>
      <c r="O9" s="34">
        <f>SUMPRODUCT((Results_Summary!T:T="6 month")*(Results_Summary!X:X="negtive"))</f>
        <v>0</v>
      </c>
      <c r="P9" s="34">
        <f>SUMPRODUCT((Results_Summary!T:T="6 month")*(Results_Summary!X:X="positive"))</f>
        <v>0</v>
      </c>
      <c r="Q9" s="34">
        <f>SUMPRODUCT((Results_Summary!T:T="6 month")*(Results_Summary!X:X="par"))</f>
        <v>1</v>
      </c>
      <c r="R9" s="41">
        <f>AVERAGE(Results_Summary!X32,Results_Summary!X46,Results_Summary!X60,Results_Summary!X74,Results_Summary!X88,Results_Summary!X102,Results_Summary!X116,Results_Summary!X130,Results_Summary!X144,Results_Summary!X158,Results_Summary!X172,Results_Summary!X186,Results_Summary!X200,Results_Summary!X214,Results_Summary!X228)</f>
        <v>3.1304731109533517E-2</v>
      </c>
    </row>
    <row r="10" spans="1:20">
      <c r="F10" s="4"/>
    </row>
    <row r="14" spans="1:20">
      <c r="A14" s="120" t="s">
        <v>87</v>
      </c>
      <c r="B14" s="120"/>
    </row>
    <row r="16" spans="1:20">
      <c r="A16" s="38" t="s">
        <v>88</v>
      </c>
      <c r="G16" s="38" t="s">
        <v>89</v>
      </c>
      <c r="N16" s="38" t="s">
        <v>88</v>
      </c>
      <c r="T16" s="38" t="s">
        <v>89</v>
      </c>
    </row>
    <row r="17" spans="1:24" ht="14.25" thickBot="1">
      <c r="A17" s="39" t="s">
        <v>81</v>
      </c>
      <c r="G17" s="39" t="s">
        <v>81</v>
      </c>
      <c r="N17" s="39" t="s">
        <v>82</v>
      </c>
      <c r="T17" s="39" t="s">
        <v>82</v>
      </c>
    </row>
    <row r="18" spans="1:24" ht="14.25" thickBot="1">
      <c r="A18" s="87"/>
      <c r="B18" s="87" t="s">
        <v>83</v>
      </c>
      <c r="C18" s="88" t="s">
        <v>84</v>
      </c>
      <c r="D18" s="89" t="s">
        <v>86</v>
      </c>
      <c r="E18" s="89" t="s">
        <v>85</v>
      </c>
      <c r="G18" s="87"/>
      <c r="H18" s="87" t="s">
        <v>83</v>
      </c>
      <c r="I18" s="88" t="s">
        <v>84</v>
      </c>
      <c r="J18" s="89" t="s">
        <v>86</v>
      </c>
      <c r="K18" s="89" t="s">
        <v>85</v>
      </c>
      <c r="L18" s="4"/>
      <c r="N18" s="87"/>
      <c r="O18" s="87" t="s">
        <v>83</v>
      </c>
      <c r="P18" s="88" t="s">
        <v>84</v>
      </c>
      <c r="Q18" s="89" t="s">
        <v>86</v>
      </c>
      <c r="R18" s="89" t="s">
        <v>85</v>
      </c>
      <c r="T18" s="87"/>
      <c r="U18" s="87" t="s">
        <v>83</v>
      </c>
      <c r="V18" s="88" t="s">
        <v>84</v>
      </c>
      <c r="W18" s="89" t="s">
        <v>86</v>
      </c>
      <c r="X18" s="89" t="s">
        <v>85</v>
      </c>
    </row>
    <row r="19" spans="1:24" ht="15.75" thickBot="1">
      <c r="A19" s="37" t="s">
        <v>13</v>
      </c>
      <c r="B19" s="34">
        <f>SUMPRODUCT((Results_Summary!$C$28:$C$94="3 month")*(Results_Summary!$K$28:$K$94="negtive"))</f>
        <v>0</v>
      </c>
      <c r="C19" s="34">
        <f>SUMPRODUCT((Results_Summary!$C$28:$C$94="3 month")*(Results_Summary!$K$28:$K$94="positive"))</f>
        <v>0</v>
      </c>
      <c r="D19" s="43">
        <f>SUMPRODUCT((Results_Summary!$C$28:$C$94="3 month")*(Results_Summary!$K$28:$K$94="par"))</f>
        <v>0</v>
      </c>
      <c r="E19" s="42">
        <f>AVERAGE(Results_Summary!K31,Results_Summary!K45,Results_Summary!K59,Results_Summary!K73,Results_Summary!K87)</f>
        <v>7.6968975829538475E-2</v>
      </c>
      <c r="G19" s="37" t="s">
        <v>13</v>
      </c>
      <c r="H19" s="34">
        <f>SUMPRODUCT((Results_Summary!$C$28:$C$94="3 month")*(Results_Summary!$O$28:$O$94="negtive"))</f>
        <v>0</v>
      </c>
      <c r="I19" s="34">
        <f>SUMPRODUCT((Results_Summary!$C$28:$C$94="3 month")*(Results_Summary!$O$28:$O$94="positive"))</f>
        <v>0</v>
      </c>
      <c r="J19" s="43">
        <f>SUMPRODUCT((Results_Summary!$C$28:$C$94="3 month")*(Results_Summary!$O$28:$O$94="par"))</f>
        <v>0</v>
      </c>
      <c r="K19" s="42">
        <f>AVERAGE(Results_Summary!O31,Results_Summary!O45,Results_Summary!O59,Results_Summary!O73,Results_Summary!O87)</f>
        <v>2.2146852896898196E-2</v>
      </c>
      <c r="L19" s="44"/>
      <c r="N19" s="37" t="s">
        <v>13</v>
      </c>
      <c r="O19" s="34">
        <f>SUMPRODUCT((Results_Summary!$C$28:$C$94="3 month")*(Results_Summary!$AB$28:$AB$94="negtive"))</f>
        <v>0</v>
      </c>
      <c r="P19" s="34">
        <f>SUMPRODUCT((Results_Summary!$C$28:$C$94="3 month")*(Results_Summary!$AB$28:$AB$94="positive"))</f>
        <v>0</v>
      </c>
      <c r="Q19" s="43">
        <f>SUMPRODUCT((Results_Summary!$C$28:$C$94="3 month")*(Results_Summary!$AB$28:$AB$94="par"))</f>
        <v>0</v>
      </c>
      <c r="R19" s="42">
        <f>AVERAGE(Results_Summary!AB31,Results_Summary!AB45,Results_Summary!AB59,Results_Summary!AB73,Results_Summary!AB87)</f>
        <v>3.4785581992694374E-2</v>
      </c>
      <c r="T19" s="37" t="s">
        <v>13</v>
      </c>
      <c r="U19" s="34">
        <f>SUMPRODUCT((Results_Summary!$C$28:$C$94="3 month")*(Results_Summary!$AF$28:$AF$94="negtive"))</f>
        <v>0</v>
      </c>
      <c r="V19" s="34">
        <f>SUMPRODUCT((Results_Summary!$C$28:$C$94="3 month")*(Results_Summary!$AF$28:$AF$94="positive"))</f>
        <v>0</v>
      </c>
      <c r="W19" s="43">
        <f>SUMPRODUCT((Results_Summary!$C$28:$C$94="3 month")*(Results_Summary!$AF$28:$AF$94="par"))</f>
        <v>0</v>
      </c>
      <c r="X19" s="42">
        <f>AVERAGE(Results_Summary!AF31,Results_Summary!AF45,Results_Summary!AF59,Results_Summary!AF73,Results_Summary!AF87)</f>
        <v>-1.7034475853525549E-3</v>
      </c>
    </row>
    <row r="20" spans="1:24" ht="15.75" thickBot="1">
      <c r="A20" s="37" t="s">
        <v>14</v>
      </c>
      <c r="B20" s="43">
        <f>SUMPRODUCT((Results_Summary!$C$28:$C$94="6 month")*(Results_Summary!$K$28:$K$94="negtive"))</f>
        <v>0</v>
      </c>
      <c r="C20" s="34">
        <f>SUMPRODUCT((Results_Summary!$C$28:$C$94="6 month")*(Results_Summary!$K$28:$K$94="positive"))</f>
        <v>0</v>
      </c>
      <c r="D20" s="43">
        <f>SUMPRODUCT((Results_Summary!$C$28:$C$94="6 month")*(Results_Summary!$K$28:$K$94="par"))</f>
        <v>0</v>
      </c>
      <c r="E20" s="41">
        <f>AVERAGE(Results_Summary!K32,Results_Summary!K46,Results_Summary!K60,Results_Summary!K74,Results_Summary!K88)</f>
        <v>5.7709489565086938E-2</v>
      </c>
      <c r="G20" s="37" t="s">
        <v>14</v>
      </c>
      <c r="H20" s="43">
        <f>SUMPRODUCT((Results_Summary!$C$28:$C$94="6 month")*(Results_Summary!$O$28:$O$94="negtive"))</f>
        <v>0</v>
      </c>
      <c r="I20" s="34">
        <f>SUMPRODUCT((Results_Summary!$C$28:$C$94="6 month")*(Results_Summary!$O$28:$O$94="positive"))</f>
        <v>0</v>
      </c>
      <c r="J20" s="43">
        <f>SUMPRODUCT((Results_Summary!$C$28:$C$94="6 month")*(Results_Summary!$O$28:$O$94="par"))</f>
        <v>0</v>
      </c>
      <c r="K20" s="41">
        <f>AVERAGE(Results_Summary!O32,Results_Summary!O46,Results_Summary!O60,Results_Summary!O74,Results_Summary!O88)</f>
        <v>1.3378444270986389E-2</v>
      </c>
      <c r="L20" s="44"/>
      <c r="N20" s="37" t="s">
        <v>14</v>
      </c>
      <c r="O20" s="43">
        <f>SUMPRODUCT((Results_Summary!$C$28:$C$94="6 month")*(Results_Summary!$AB$28:$AB$94="negtive"))</f>
        <v>0</v>
      </c>
      <c r="P20" s="34">
        <f>SUMPRODUCT((Results_Summary!$C$28:$C$94="6 month")*(Results_Summary!$AB$28:$AB$94="positive"))</f>
        <v>0</v>
      </c>
      <c r="Q20" s="43">
        <f>SUMPRODUCT((Results_Summary!$C$28:$C$94="6 month")*(Results_Summary!$AB$28:$AB$94="par"))</f>
        <v>0</v>
      </c>
      <c r="R20" s="41">
        <f>AVERAGE(Results_Summary!AB32,Results_Summary!AB46,Results_Summary!AB60,Results_Summary!AB74,Results_Summary!AB88)</f>
        <v>1.5037474012223662E-2</v>
      </c>
      <c r="T20" s="37" t="s">
        <v>14</v>
      </c>
      <c r="U20" s="43">
        <f>SUMPRODUCT((Results_Summary!$C$28:$C$94="6 month")*(Results_Summary!$AF$28:$AF$94="negtive"))</f>
        <v>0</v>
      </c>
      <c r="V20" s="34">
        <f>SUMPRODUCT((Results_Summary!$C$28:$C$94="6 month")*(Results_Summary!$AF$28:$AF$94="positive"))</f>
        <v>0</v>
      </c>
      <c r="W20" s="43">
        <f>SUMPRODUCT((Results_Summary!$C$28:$C$94="6 month")*(Results_Summary!$AF$28:$AF$94="par"))</f>
        <v>0</v>
      </c>
      <c r="X20" s="41">
        <f>AVERAGE(Results_Summary!AF32,Results_Summary!AF46,Results_Summary!AF60,Results_Summary!AF74,Results_Summary!AF88)</f>
        <v>-4.0776832318890682E-3</v>
      </c>
    </row>
    <row r="23" spans="1:24">
      <c r="A23" s="120" t="s">
        <v>90</v>
      </c>
      <c r="B23" s="120"/>
    </row>
    <row r="25" spans="1:24">
      <c r="A25" s="38" t="s">
        <v>88</v>
      </c>
      <c r="G25" s="38" t="s">
        <v>89</v>
      </c>
      <c r="N25" s="38" t="s">
        <v>88</v>
      </c>
      <c r="T25" s="38" t="s">
        <v>89</v>
      </c>
    </row>
    <row r="26" spans="1:24" ht="14.25" thickBot="1">
      <c r="A26" s="39" t="s">
        <v>81</v>
      </c>
      <c r="G26" s="39" t="s">
        <v>81</v>
      </c>
      <c r="N26" s="39" t="s">
        <v>82</v>
      </c>
      <c r="T26" s="39" t="s">
        <v>82</v>
      </c>
    </row>
    <row r="27" spans="1:24" ht="14.25" thickBot="1">
      <c r="A27" s="87"/>
      <c r="B27" s="87" t="s">
        <v>83</v>
      </c>
      <c r="C27" s="88" t="s">
        <v>84</v>
      </c>
      <c r="D27" s="89" t="s">
        <v>86</v>
      </c>
      <c r="E27" s="89" t="s">
        <v>85</v>
      </c>
      <c r="G27" s="87"/>
      <c r="H27" s="87" t="s">
        <v>83</v>
      </c>
      <c r="I27" s="88" t="s">
        <v>84</v>
      </c>
      <c r="J27" s="89" t="s">
        <v>86</v>
      </c>
      <c r="K27" s="89" t="s">
        <v>85</v>
      </c>
      <c r="L27" s="4"/>
      <c r="N27" s="87"/>
      <c r="O27" s="87" t="s">
        <v>83</v>
      </c>
      <c r="P27" s="88" t="s">
        <v>84</v>
      </c>
      <c r="Q27" s="89" t="s">
        <v>86</v>
      </c>
      <c r="R27" s="89" t="s">
        <v>85</v>
      </c>
      <c r="T27" s="87"/>
      <c r="U27" s="87" t="s">
        <v>83</v>
      </c>
      <c r="V27" s="88" t="s">
        <v>84</v>
      </c>
      <c r="W27" s="89" t="s">
        <v>86</v>
      </c>
      <c r="X27" s="89" t="s">
        <v>85</v>
      </c>
    </row>
    <row r="28" spans="1:24" ht="15.75" thickBot="1">
      <c r="A28" s="37" t="s">
        <v>13</v>
      </c>
      <c r="B28" s="34">
        <f>SUMPRODUCT((Results_Summary!$C$98:$C$164="3 month")*(Results_Summary!$K$98:$K$164="negtive"))</f>
        <v>0</v>
      </c>
      <c r="C28" s="34">
        <f>SUMPRODUCT((Results_Summary!$C$98:$C$164="3 month")*(Results_Summary!$K$98:$K$164="positive"))</f>
        <v>0</v>
      </c>
      <c r="D28" s="43">
        <f>SUMPRODUCT((Results_Summary!$C$98:$C$164="3 month")*(Results_Summary!$K$98:$K$164="par"))</f>
        <v>0</v>
      </c>
      <c r="E28" s="42">
        <f>AVERAGE(Results_Summary!K101,Results_Summary!K115,Results_Summary!K129,Results_Summary!K143,Results_Summary!K157)</f>
        <v>1.9427496850200759E-2</v>
      </c>
      <c r="G28" s="37" t="s">
        <v>13</v>
      </c>
      <c r="H28" s="34">
        <f>SUMPRODUCT((Results_Summary!$C$98:$C$164="3 month")*(Results_Summary!$O$98:$O$164="negtive"))</f>
        <v>0</v>
      </c>
      <c r="I28" s="34">
        <f>SUMPRODUCT((Results_Summary!$C$98:$C$164="3 month")*(Results_Summary!$O$98:$O$164="positive"))</f>
        <v>0</v>
      </c>
      <c r="J28" s="43">
        <f>SUMPRODUCT((Results_Summary!$C$98:$C$164="3 month")*(Results_Summary!$O$98:$O$164="par"))</f>
        <v>0</v>
      </c>
      <c r="K28" s="42">
        <f>AVERAGE(Results_Summary!O101,Results_Summary!O115,Results_Summary!O129,Results_Summary!O143,Results_Summary!O157)</f>
        <v>-1.3458792597513832E-2</v>
      </c>
      <c r="L28" s="44"/>
      <c r="N28" s="37" t="s">
        <v>13</v>
      </c>
      <c r="O28" s="34">
        <f>SUMPRODUCT((Results_Summary!$C$98:$C$164="3 month")*(Results_Summary!$AB$98:$AB$164="negtive"))</f>
        <v>0</v>
      </c>
      <c r="P28" s="34">
        <f>SUMPRODUCT((Results_Summary!$C$98:$C$164="3 month")*(Results_Summary!$AB$98:$AB$164="positive"))</f>
        <v>0</v>
      </c>
      <c r="Q28" s="43">
        <f>SUMPRODUCT((Results_Summary!$C$98:$C$164="3 month")*(Results_Summary!$AB$98:$AB$164="par"))</f>
        <v>1</v>
      </c>
      <c r="R28" s="42">
        <f>AVERAGE(Results_Summary!AB101,Results_Summary!AB115,Results_Summary!AB129,Results_Summary!AB143,Results_Summary!AB157)</f>
        <v>1.4104311009113685E-2</v>
      </c>
      <c r="T28" s="37" t="s">
        <v>13</v>
      </c>
      <c r="U28" s="34">
        <f>SUMPRODUCT((Results_Summary!$C$98:$C$164="3 month")*(Results_Summary!$AF$98:$AF$164="negtive"))</f>
        <v>0</v>
      </c>
      <c r="V28" s="34">
        <f>SUMPRODUCT((Results_Summary!$C$98:$C$164="3 month")*(Results_Summary!$AF$98:$AF$164="positive"))</f>
        <v>0</v>
      </c>
      <c r="W28" s="43">
        <f>SUMPRODUCT((Results_Summary!$C$98:$C$164="3 month")*(Results_Summary!$AF$98:$AF$164="par"))</f>
        <v>0</v>
      </c>
      <c r="X28" s="42">
        <f>AVERAGE(Results_Summary!AF101,Results_Summary!AF115,Results_Summary!AF129,Results_Summary!AF143,Results_Summary!AF157)</f>
        <v>-3.4886662971781369E-2</v>
      </c>
    </row>
    <row r="29" spans="1:24" ht="15.75" thickBot="1">
      <c r="A29" s="37" t="s">
        <v>14</v>
      </c>
      <c r="B29" s="43">
        <f>SUMPRODUCT((Results_Summary!$C$98:$C$164="6 month")*(Results_Summary!$K$98:$K$164="negtive"))</f>
        <v>0</v>
      </c>
      <c r="C29" s="34">
        <f>SUMPRODUCT((Results_Summary!$C$98:$C$164="6 month")*(Results_Summary!$K$98:$K$164="positive"))</f>
        <v>0</v>
      </c>
      <c r="D29" s="43">
        <f>SUMPRODUCT((Results_Summary!$C$98:$C$164="6 month")*(Results_Summary!$K$98:$K$164="par"))</f>
        <v>0</v>
      </c>
      <c r="E29" s="41">
        <f>AVERAGE(Results_Summary!K102,Results_Summary!K116,Results_Summary!K130,Results_Summary!K144,Results_Summary!K158)</f>
        <v>1.4726775956484958E-2</v>
      </c>
      <c r="G29" s="37" t="s">
        <v>14</v>
      </c>
      <c r="H29" s="43">
        <f>SUMPRODUCT((Results_Summary!$C$98:$C$164="6 month")*(Results_Summary!$O$98:$O$164="negtive"))</f>
        <v>0</v>
      </c>
      <c r="I29" s="34">
        <f>SUMPRODUCT((Results_Summary!$C$98:$C$164="6 month")*(Results_Summary!$O$98:$O$164="positive"))</f>
        <v>0</v>
      </c>
      <c r="J29" s="43">
        <f>SUMPRODUCT((Results_Summary!$C$98:$C$164="6 month")*(Results_Summary!$O$98:$O$164="par"))</f>
        <v>0</v>
      </c>
      <c r="K29" s="41">
        <f>AVERAGE(Results_Summary!O102,Results_Summary!O116,Results_Summary!O130,Results_Summary!O144,Results_Summary!O158)</f>
        <v>-2.5954229924634011E-2</v>
      </c>
      <c r="L29" s="44"/>
      <c r="N29" s="37" t="s">
        <v>14</v>
      </c>
      <c r="O29" s="43">
        <f>SUMPRODUCT((Results_Summary!$C$98:$C$164="6 month")*(Results_Summary!$AB$98:$AB$164="negtive"))</f>
        <v>0</v>
      </c>
      <c r="P29" s="34">
        <f>SUMPRODUCT((Results_Summary!$C$98:$C$164="6 month")*(Results_Summary!$AB$98:$AB$164="positive"))</f>
        <v>0</v>
      </c>
      <c r="Q29" s="43">
        <f>SUMPRODUCT((Results_Summary!$C$98:$C$164="6 month")*(Results_Summary!$AB$98:$AB$164="par"))</f>
        <v>1</v>
      </c>
      <c r="R29" s="41">
        <f>AVERAGE(Results_Summary!AB102,Results_Summary!AB116,Results_Summary!AB130,Results_Summary!AB144,Results_Summary!AB158)</f>
        <v>1.2475520994120934E-2</v>
      </c>
      <c r="T29" s="37" t="s">
        <v>14</v>
      </c>
      <c r="U29" s="43">
        <f>SUMPRODUCT((Results_Summary!$C$98:$C$164="6 month")*(Results_Summary!$AF$98:$AF$164="negtive"))</f>
        <v>0</v>
      </c>
      <c r="V29" s="34">
        <f>SUMPRODUCT((Results_Summary!$C$98:$C$164="6 month")*(Results_Summary!$AF$98:$AF$164="positive"))</f>
        <v>0</v>
      </c>
      <c r="W29" s="43">
        <f>SUMPRODUCT((Results_Summary!$C$98:$C$164="6 month")*(Results_Summary!$AF$98:$AF$164="par"))</f>
        <v>0</v>
      </c>
      <c r="X29" s="41">
        <f>AVERAGE(Results_Summary!AF102,Results_Summary!AF116,Results_Summary!AF130,Results_Summary!AF144,Results_Summary!AF158)</f>
        <v>-3.2869554649726143E-2</v>
      </c>
    </row>
    <row r="32" spans="1:24">
      <c r="A32" s="120" t="s">
        <v>91</v>
      </c>
      <c r="B32" s="120"/>
    </row>
    <row r="34" spans="1:24">
      <c r="A34" s="38" t="s">
        <v>88</v>
      </c>
      <c r="G34" s="38" t="s">
        <v>89</v>
      </c>
      <c r="N34" s="38" t="s">
        <v>88</v>
      </c>
      <c r="T34" s="38" t="s">
        <v>89</v>
      </c>
    </row>
    <row r="35" spans="1:24" ht="14.25" thickBot="1">
      <c r="A35" s="39" t="s">
        <v>81</v>
      </c>
      <c r="G35" s="39" t="s">
        <v>81</v>
      </c>
      <c r="N35" s="39" t="s">
        <v>82</v>
      </c>
      <c r="T35" s="39" t="s">
        <v>82</v>
      </c>
    </row>
    <row r="36" spans="1:24" ht="14.25" thickBot="1">
      <c r="A36" s="87"/>
      <c r="B36" s="87" t="s">
        <v>83</v>
      </c>
      <c r="C36" s="88" t="s">
        <v>84</v>
      </c>
      <c r="D36" s="89" t="s">
        <v>86</v>
      </c>
      <c r="E36" s="89" t="s">
        <v>85</v>
      </c>
      <c r="G36" s="87"/>
      <c r="H36" s="87" t="s">
        <v>83</v>
      </c>
      <c r="I36" s="88" t="s">
        <v>84</v>
      </c>
      <c r="J36" s="89" t="s">
        <v>86</v>
      </c>
      <c r="K36" s="89" t="s">
        <v>85</v>
      </c>
      <c r="L36" s="4"/>
      <c r="N36" s="87"/>
      <c r="O36" s="87" t="s">
        <v>83</v>
      </c>
      <c r="P36" s="88" t="s">
        <v>84</v>
      </c>
      <c r="Q36" s="89" t="s">
        <v>86</v>
      </c>
      <c r="R36" s="89" t="s">
        <v>85</v>
      </c>
      <c r="T36" s="87"/>
      <c r="U36" s="87" t="s">
        <v>83</v>
      </c>
      <c r="V36" s="88" t="s">
        <v>84</v>
      </c>
      <c r="W36" s="89" t="s">
        <v>86</v>
      </c>
      <c r="X36" s="89" t="s">
        <v>85</v>
      </c>
    </row>
    <row r="37" spans="1:24" ht="15.75" thickBot="1">
      <c r="A37" s="37" t="s">
        <v>13</v>
      </c>
      <c r="B37" s="34">
        <f>SUMPRODUCT((Results_Summary!$C$168:$C$234="3 month")*(Results_Summary!$K$168:$K$234="negtive"))</f>
        <v>0</v>
      </c>
      <c r="C37" s="34">
        <f>SUMPRODUCT((Results_Summary!$C$168:$C$234="3 month")*(Results_Summary!$K$168:$K$234="positive"))</f>
        <v>0</v>
      </c>
      <c r="D37" s="43">
        <f>SUMPRODUCT((Results_Summary!$C$168:$C$234="3 month")*(Results_Summary!$K$168:$K$234="par"))</f>
        <v>0</v>
      </c>
      <c r="E37" s="42">
        <f>AVERAGE(Results_Summary!K171,Results_Summary!K185,Results_Summary!K199,Results_Summary!K213,Results_Summary!K227)</f>
        <v>-9.9304462574025202E-3</v>
      </c>
      <c r="G37" s="37" t="s">
        <v>13</v>
      </c>
      <c r="H37" s="34">
        <f>SUMPRODUCT((Results_Summary!$C$168:$C$234="3 month")*(Results_Summary!$O$168:$O$234="negtive"))</f>
        <v>0</v>
      </c>
      <c r="I37" s="34">
        <f>SUMPRODUCT((Results_Summary!$C$168:$C$234="3 month")*(Results_Summary!$O$168:$O$234="positive"))</f>
        <v>0</v>
      </c>
      <c r="J37" s="43">
        <f>SUMPRODUCT((Results_Summary!$C$168:$C$234="3 month")*(Results_Summary!$O$168:$O$234="par"))</f>
        <v>0</v>
      </c>
      <c r="K37" s="42">
        <f>AVERAGE(Results_Summary!O171,Results_Summary!O185,Results_Summary!O199,Results_Summary!O213,Results_Summary!O227)</f>
        <v>1.4551932318466536E-2</v>
      </c>
      <c r="L37" s="44"/>
      <c r="N37" s="37" t="s">
        <v>13</v>
      </c>
      <c r="O37" s="34">
        <f>SUMPRODUCT((Results_Summary!$C$168:$C$234="3 month")*(Results_Summary!$AB$168:$AB$234="negtive"))</f>
        <v>0</v>
      </c>
      <c r="P37" s="34">
        <f>SUMPRODUCT((Results_Summary!$C$168:$C$234="3 month")*(Results_Summary!$AB$168:$AB$234="positive"))</f>
        <v>0</v>
      </c>
      <c r="Q37" s="43">
        <f>SUMPRODUCT((Results_Summary!$C$168:$C$234="3 month")*(Results_Summary!$AB$168:$AB$234="par"))</f>
        <v>0</v>
      </c>
      <c r="R37" s="42">
        <f>AVERAGE(Results_Summary!AB171,Results_Summary!AB185,Results_Summary!AB199,Results_Summary!AB213,Results_Summary!AB227)</f>
        <v>-3.082971904563981E-2</v>
      </c>
      <c r="T37" s="37" t="s">
        <v>13</v>
      </c>
      <c r="U37" s="34">
        <f>SUMPRODUCT((Results_Summary!$C$168:$C$234="3 month")*(Results_Summary!$AF$168:$AF$234="negtive"))</f>
        <v>0</v>
      </c>
      <c r="V37" s="34">
        <f>SUMPRODUCT((Results_Summary!$C$168:$C$234="3 month")*(Results_Summary!$AF$168:$AF$234="positive"))</f>
        <v>0</v>
      </c>
      <c r="W37" s="43">
        <f>SUMPRODUCT((Results_Summary!$C$168:$C$234="3 month")*(Results_Summary!$AF$168:$AF$234="par"))</f>
        <v>0</v>
      </c>
      <c r="X37" s="42">
        <f>AVERAGE(Results_Summary!AF171,Results_Summary!AF185,Results_Summary!AF199,Results_Summary!AF213,Results_Summary!AF227)</f>
        <v>-2.2440491028679163E-2</v>
      </c>
    </row>
    <row r="38" spans="1:24" ht="15.75" thickBot="1">
      <c r="A38" s="37" t="s">
        <v>14</v>
      </c>
      <c r="B38" s="43">
        <f>SUMPRODUCT((Results_Summary!$C$168:$C$234="6 month")*(Results_Summary!$K$168:$K$234="negtive"))</f>
        <v>0</v>
      </c>
      <c r="C38" s="34">
        <f>SUMPRODUCT((Results_Summary!$C$168:$C$234="6 month")*(Results_Summary!$K$168:$K$234="positive"))</f>
        <v>0</v>
      </c>
      <c r="D38" s="43">
        <f>SUMPRODUCT((Results_Summary!$C$168:$C$234="6 month")*(Results_Summary!$K$168:$K$234="par"))</f>
        <v>0</v>
      </c>
      <c r="E38" s="41">
        <f>AVERAGE(Results_Summary!K172,Results_Summary!K186,Results_Summary!K200,Results_Summary!K214,Results_Summary!K228)</f>
        <v>-1.8365720150890302E-2</v>
      </c>
      <c r="G38" s="37" t="s">
        <v>14</v>
      </c>
      <c r="H38" s="43">
        <f>SUMPRODUCT((Results_Summary!$C$168:$C$234="6 month")*(Results_Summary!$O$168:$O$234="negtive"))</f>
        <v>0</v>
      </c>
      <c r="I38" s="34">
        <f>SUMPRODUCT((Results_Summary!$C$168:$C$234="6 month")*(Results_Summary!$O$168:$O$234="positive"))</f>
        <v>0</v>
      </c>
      <c r="J38" s="43">
        <f>SUMPRODUCT((Results_Summary!$C$168:$C$234="6 month")*(Results_Summary!$O$168:$O$234="par"))</f>
        <v>0</v>
      </c>
      <c r="K38" s="41">
        <f>AVERAGE(Results_Summary!O172,Results_Summary!O186,Results_Summary!O200,Results_Summary!O214,Results_Summary!O228)</f>
        <v>6.4147553751120181E-3</v>
      </c>
      <c r="L38" s="44"/>
      <c r="N38" s="37" t="s">
        <v>14</v>
      </c>
      <c r="O38" s="43">
        <f>SUMPRODUCT((Results_Summary!$C$168:$C$234="6 month")*(Results_Summary!$AB$168:$AB$234="negtive"))</f>
        <v>0</v>
      </c>
      <c r="P38" s="34">
        <f>SUMPRODUCT((Results_Summary!$C$168:$C$234="6 month")*(Results_Summary!$AB$168:$AB$234="positive"))</f>
        <v>0</v>
      </c>
      <c r="Q38" s="43">
        <f>SUMPRODUCT((Results_Summary!$C$168:$C$234="6 month")*(Results_Summary!$AB$168:$AB$234="par"))</f>
        <v>0</v>
      </c>
      <c r="R38" s="41">
        <f>AVERAGE(Results_Summary!AB172,Results_Summary!AB186,Results_Summary!AB200,Results_Summary!AB214,Results_Summary!AB228)</f>
        <v>-5.0501468756670373E-2</v>
      </c>
      <c r="T38" s="37" t="s">
        <v>14</v>
      </c>
      <c r="U38" s="43">
        <f>SUMPRODUCT((Results_Summary!$C$168:$C$234="6 month")*(Results_Summary!$AF$168:$AF$234="negtive"))</f>
        <v>0</v>
      </c>
      <c r="V38" s="34">
        <f>SUMPRODUCT((Results_Summary!$C$168:$C$234="6 month")*(Results_Summary!$AF$168:$AF$234="positive"))</f>
        <v>0</v>
      </c>
      <c r="W38" s="43">
        <f>SUMPRODUCT((Results_Summary!$C$168:$C$234="6 month")*(Results_Summary!$AF$168:$AF$234="par"))</f>
        <v>0</v>
      </c>
      <c r="X38" s="41">
        <f>AVERAGE(Results_Summary!AF172,Results_Summary!AF186,Results_Summary!AF200,Results_Summary!AF214,Results_Summary!AF228)</f>
        <v>-2.3448388939238E-2</v>
      </c>
    </row>
  </sheetData>
  <mergeCells count="4">
    <mergeCell ref="A4:B4"/>
    <mergeCell ref="A14:B14"/>
    <mergeCell ref="A23:B23"/>
    <mergeCell ref="A32:B32"/>
  </mergeCells>
  <phoneticPr fontId="33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/>
  <dimension ref="A1:D60"/>
  <sheetViews>
    <sheetView tabSelected="1" topLeftCell="A22" workbookViewId="0">
      <selection activeCell="C30" sqref="C30"/>
    </sheetView>
  </sheetViews>
  <sheetFormatPr defaultRowHeight="13.5"/>
  <sheetData>
    <row r="1" spans="1:4" ht="15.75" thickBot="1">
      <c r="A1" t="s">
        <v>125</v>
      </c>
      <c r="B1" s="58" t="s">
        <v>18</v>
      </c>
      <c r="C1" t="s">
        <v>101</v>
      </c>
      <c r="D1" t="s">
        <v>102</v>
      </c>
    </row>
    <row r="2" spans="1:4" ht="15.75" thickBot="1">
      <c r="B2" s="58" t="s">
        <v>18</v>
      </c>
      <c r="C2" s="58" t="s">
        <v>18</v>
      </c>
      <c r="D2" s="58" t="s">
        <v>18</v>
      </c>
    </row>
    <row r="3" spans="1:4" ht="15.75" thickBot="1">
      <c r="B3" s="59" t="s">
        <v>62</v>
      </c>
      <c r="C3" s="59" t="s">
        <v>62</v>
      </c>
      <c r="D3" s="59" t="s">
        <v>61</v>
      </c>
    </row>
    <row r="4" spans="1:4" ht="15.75" thickBot="1">
      <c r="B4" s="59" t="s">
        <v>61</v>
      </c>
      <c r="C4" s="58" t="s">
        <v>17</v>
      </c>
      <c r="D4" s="58" t="s">
        <v>17</v>
      </c>
    </row>
    <row r="5" spans="1:4" ht="15.75" thickBot="1">
      <c r="B5" s="58" t="s">
        <v>17</v>
      </c>
      <c r="C5" s="64" t="s">
        <v>65</v>
      </c>
      <c r="D5" s="64" t="s">
        <v>61</v>
      </c>
    </row>
    <row r="6" spans="1:4" ht="15.75" thickBot="1">
      <c r="B6" s="58" t="s">
        <v>17</v>
      </c>
      <c r="C6" s="58" t="s">
        <v>18</v>
      </c>
      <c r="D6" s="58" t="s">
        <v>18</v>
      </c>
    </row>
    <row r="7" spans="1:4" ht="15.75" thickBot="1">
      <c r="B7" s="64" t="s">
        <v>65</v>
      </c>
      <c r="C7" s="56" t="s">
        <v>94</v>
      </c>
      <c r="D7" s="56" t="s">
        <v>94</v>
      </c>
    </row>
    <row r="8" spans="1:4" ht="15.75" thickBot="1">
      <c r="B8" s="64" t="s">
        <v>61</v>
      </c>
      <c r="C8" s="56"/>
      <c r="D8" s="56"/>
    </row>
    <row r="9" spans="1:4" ht="15.75" thickBot="1">
      <c r="B9" s="58" t="s">
        <v>18</v>
      </c>
      <c r="C9" s="61"/>
      <c r="D9" s="61"/>
    </row>
    <row r="10" spans="1:4" ht="15.75" thickBot="1">
      <c r="B10" s="58" t="s">
        <v>18</v>
      </c>
      <c r="C10" s="58" t="s">
        <v>18</v>
      </c>
      <c r="D10" s="58" t="s">
        <v>18</v>
      </c>
    </row>
    <row r="11" spans="1:4" ht="15.75" thickBot="1">
      <c r="B11" s="56" t="s">
        <v>94</v>
      </c>
      <c r="C11" s="56" t="s">
        <v>94</v>
      </c>
      <c r="D11" s="56" t="s">
        <v>94</v>
      </c>
    </row>
    <row r="12" spans="1:4" ht="15.75" thickBot="1">
      <c r="B12" s="56" t="s">
        <v>94</v>
      </c>
      <c r="C12" s="58" t="s">
        <v>17</v>
      </c>
      <c r="D12" s="58" t="s">
        <v>17</v>
      </c>
    </row>
    <row r="13" spans="1:4" ht="15.75" thickBot="1">
      <c r="B13" s="56"/>
      <c r="C13" s="64" t="s">
        <v>62</v>
      </c>
      <c r="D13" s="64" t="s">
        <v>62</v>
      </c>
    </row>
    <row r="14" spans="1:4" ht="15.75" thickBot="1">
      <c r="B14" s="56"/>
      <c r="C14" s="58" t="s">
        <v>17</v>
      </c>
      <c r="D14" s="58" t="s">
        <v>17</v>
      </c>
    </row>
    <row r="15" spans="1:4" ht="15.75" thickBot="1">
      <c r="B15" s="61"/>
      <c r="C15" s="56" t="s">
        <v>94</v>
      </c>
      <c r="D15" s="56" t="s">
        <v>64</v>
      </c>
    </row>
    <row r="16" spans="1:4" ht="15.75" thickBot="1">
      <c r="B16" s="61"/>
      <c r="C16" s="58" t="s">
        <v>17</v>
      </c>
      <c r="D16" s="58" t="s">
        <v>17</v>
      </c>
    </row>
    <row r="17" spans="2:4" ht="15.75" thickBot="1">
      <c r="B17" s="58" t="s">
        <v>18</v>
      </c>
      <c r="C17" s="64" t="s">
        <v>62</v>
      </c>
      <c r="D17" s="64" t="s">
        <v>62</v>
      </c>
    </row>
    <row r="18" spans="2:4" ht="15.75" thickBot="1">
      <c r="B18" s="58" t="s">
        <v>18</v>
      </c>
      <c r="C18" s="58" t="s">
        <v>18</v>
      </c>
      <c r="D18" s="58" t="s">
        <v>18</v>
      </c>
    </row>
    <row r="19" spans="2:4" ht="15.75" thickBot="1">
      <c r="B19" s="56" t="s">
        <v>94</v>
      </c>
      <c r="C19" s="64" t="s">
        <v>62</v>
      </c>
      <c r="D19" s="64" t="s">
        <v>62</v>
      </c>
    </row>
    <row r="20" spans="2:4" ht="15.75" thickBot="1">
      <c r="B20" s="56" t="s">
        <v>94</v>
      </c>
      <c r="C20" s="56"/>
      <c r="D20" s="56"/>
    </row>
    <row r="21" spans="2:4" ht="15.75" thickBot="1">
      <c r="B21" s="58" t="s">
        <v>17</v>
      </c>
      <c r="C21" s="61"/>
      <c r="D21" s="61"/>
    </row>
    <row r="22" spans="2:4" ht="15.75" thickBot="1">
      <c r="B22" s="58" t="s">
        <v>17</v>
      </c>
      <c r="C22" s="58" t="s">
        <v>17</v>
      </c>
      <c r="D22" s="58" t="s">
        <v>17</v>
      </c>
    </row>
    <row r="23" spans="2:4" ht="15.75" thickBot="1">
      <c r="B23" s="64" t="s">
        <v>62</v>
      </c>
      <c r="C23" s="64" t="s">
        <v>62</v>
      </c>
      <c r="D23" s="64" t="s">
        <v>59</v>
      </c>
    </row>
    <row r="24" spans="2:4" ht="15.75" thickBot="1">
      <c r="B24" s="64" t="s">
        <v>62</v>
      </c>
      <c r="C24" s="58" t="s">
        <v>18</v>
      </c>
      <c r="D24" s="58" t="s">
        <v>18</v>
      </c>
    </row>
    <row r="25" spans="2:4" ht="15.75" thickBot="1">
      <c r="B25" s="58" t="s">
        <v>17</v>
      </c>
      <c r="C25" s="64" t="s">
        <v>62</v>
      </c>
      <c r="D25" s="64" t="s">
        <v>59</v>
      </c>
    </row>
    <row r="26" spans="2:4" ht="15.75" thickBot="1">
      <c r="B26" s="58" t="s">
        <v>17</v>
      </c>
      <c r="C26" s="58" t="s">
        <v>17</v>
      </c>
      <c r="D26" s="58" t="s">
        <v>17</v>
      </c>
    </row>
    <row r="27" spans="2:4" ht="15.75" thickBot="1">
      <c r="B27" s="56" t="s">
        <v>94</v>
      </c>
      <c r="C27" s="64" t="s">
        <v>62</v>
      </c>
      <c r="D27" s="64" t="s">
        <v>62</v>
      </c>
    </row>
    <row r="28" spans="2:4" ht="15.75" thickBot="1">
      <c r="B28" s="56" t="s">
        <v>64</v>
      </c>
      <c r="C28" s="58" t="s">
        <v>18</v>
      </c>
      <c r="D28" s="58" t="s">
        <v>18</v>
      </c>
    </row>
    <row r="29" spans="2:4" ht="15.75" thickBot="1">
      <c r="B29" s="58" t="s">
        <v>17</v>
      </c>
      <c r="C29" s="64" t="s">
        <v>62</v>
      </c>
      <c r="D29" s="64" t="s">
        <v>59</v>
      </c>
    </row>
    <row r="30" spans="2:4" ht="15.75" thickBot="1">
      <c r="B30" s="58" t="s">
        <v>17</v>
      </c>
      <c r="C30" s="98" t="s">
        <v>18</v>
      </c>
      <c r="D30" s="58" t="s">
        <v>18</v>
      </c>
    </row>
    <row r="31" spans="2:4" ht="15.75" thickBot="1">
      <c r="B31" s="64" t="s">
        <v>62</v>
      </c>
      <c r="C31" s="56" t="s">
        <v>94</v>
      </c>
      <c r="D31" s="56" t="s">
        <v>64</v>
      </c>
    </row>
    <row r="32" spans="2:4" ht="15.75" thickBot="1">
      <c r="B32" s="64" t="s">
        <v>62</v>
      </c>
      <c r="C32">
        <v>0</v>
      </c>
      <c r="D32">
        <v>3</v>
      </c>
    </row>
    <row r="33" spans="2:4" ht="15.75" thickBot="1">
      <c r="B33" s="58" t="s">
        <v>18</v>
      </c>
      <c r="C33">
        <v>0</v>
      </c>
      <c r="D33">
        <v>2</v>
      </c>
    </row>
    <row r="34" spans="2:4" ht="15.75" thickBot="1">
      <c r="B34" s="58" t="s">
        <v>18</v>
      </c>
    </row>
    <row r="35" spans="2:4" ht="15.75" thickBot="1">
      <c r="B35" s="64" t="s">
        <v>62</v>
      </c>
    </row>
    <row r="36" spans="2:4" ht="15.75" thickBot="1">
      <c r="B36" s="64" t="s">
        <v>62</v>
      </c>
    </row>
    <row r="37" spans="2:4" ht="15.75" thickBot="1">
      <c r="B37" s="56"/>
    </row>
    <row r="38" spans="2:4" ht="15.75" thickBot="1">
      <c r="B38" s="56"/>
    </row>
    <row r="39" spans="2:4" ht="14.25" thickBot="1">
      <c r="B39" s="61"/>
    </row>
    <row r="40" spans="2:4" ht="14.25" thickBot="1">
      <c r="B40" s="61"/>
    </row>
    <row r="41" spans="2:4" ht="15.75" thickBot="1">
      <c r="B41" s="58" t="s">
        <v>17</v>
      </c>
    </row>
    <row r="42" spans="2:4" ht="15.75" thickBot="1">
      <c r="B42" s="58" t="s">
        <v>17</v>
      </c>
    </row>
    <row r="43" spans="2:4" ht="15.75" thickBot="1">
      <c r="B43" s="64" t="s">
        <v>62</v>
      </c>
    </row>
    <row r="44" spans="2:4" ht="15.75" thickBot="1">
      <c r="B44" s="64" t="s">
        <v>59</v>
      </c>
    </row>
    <row r="45" spans="2:4" ht="15.75" thickBot="1">
      <c r="B45" s="58" t="s">
        <v>18</v>
      </c>
    </row>
    <row r="46" spans="2:4" ht="15.75" thickBot="1">
      <c r="B46" s="58" t="s">
        <v>18</v>
      </c>
    </row>
    <row r="47" spans="2:4" ht="15.75" thickBot="1">
      <c r="B47" s="64" t="s">
        <v>62</v>
      </c>
    </row>
    <row r="48" spans="2:4" ht="15.75" thickBot="1">
      <c r="B48" s="64" t="s">
        <v>59</v>
      </c>
    </row>
    <row r="49" spans="2:2" ht="15.75" thickBot="1">
      <c r="B49" s="58" t="s">
        <v>17</v>
      </c>
    </row>
    <row r="50" spans="2:2" ht="15.75" thickBot="1">
      <c r="B50" s="58" t="s">
        <v>17</v>
      </c>
    </row>
    <row r="51" spans="2:2" ht="15.75" thickBot="1">
      <c r="B51" s="64" t="s">
        <v>62</v>
      </c>
    </row>
    <row r="52" spans="2:2" ht="15.75" thickBot="1">
      <c r="B52" s="64" t="s">
        <v>62</v>
      </c>
    </row>
    <row r="53" spans="2:2" ht="15.75" thickBot="1">
      <c r="B53" s="58" t="s">
        <v>18</v>
      </c>
    </row>
    <row r="54" spans="2:2" ht="15.75" thickBot="1">
      <c r="B54" s="58" t="s">
        <v>18</v>
      </c>
    </row>
    <row r="55" spans="2:2" ht="15.75" thickBot="1">
      <c r="B55" s="64" t="s">
        <v>62</v>
      </c>
    </row>
    <row r="56" spans="2:2" ht="15.75" thickBot="1">
      <c r="B56" s="64" t="s">
        <v>59</v>
      </c>
    </row>
    <row r="57" spans="2:2" ht="15.75" thickBot="1">
      <c r="B57" s="58" t="s">
        <v>18</v>
      </c>
    </row>
    <row r="58" spans="2:2" ht="15.75" thickBot="1">
      <c r="B58" s="58" t="s">
        <v>18</v>
      </c>
    </row>
    <row r="59" spans="2:2" ht="15.75" thickBot="1">
      <c r="B59" s="56" t="s">
        <v>94</v>
      </c>
    </row>
    <row r="60" spans="2:2" ht="15.75" thickBot="1">
      <c r="B60" s="56" t="s">
        <v>64</v>
      </c>
    </row>
  </sheetData>
  <phoneticPr fontId="3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AE24"/>
  <sheetViews>
    <sheetView topLeftCell="G1" workbookViewId="0">
      <selection activeCell="H13" sqref="H13"/>
    </sheetView>
  </sheetViews>
  <sheetFormatPr defaultRowHeight="13.5"/>
  <sheetData>
    <row r="1" spans="1:31">
      <c r="A1" t="s">
        <v>113</v>
      </c>
      <c r="B1" t="s">
        <v>119</v>
      </c>
      <c r="G1" t="s">
        <v>123</v>
      </c>
      <c r="L1" t="s">
        <v>124</v>
      </c>
      <c r="R1" t="s">
        <v>114</v>
      </c>
      <c r="S1" t="s">
        <v>119</v>
      </c>
      <c r="X1" t="s">
        <v>123</v>
      </c>
      <c r="AC1" t="s">
        <v>124</v>
      </c>
    </row>
    <row r="2" spans="1:31">
      <c r="B2" t="s">
        <v>120</v>
      </c>
      <c r="C2" t="s">
        <v>117</v>
      </c>
      <c r="D2" t="s">
        <v>118</v>
      </c>
      <c r="G2" t="s">
        <v>120</v>
      </c>
      <c r="H2" t="s">
        <v>117</v>
      </c>
      <c r="I2" t="s">
        <v>118</v>
      </c>
      <c r="L2" t="s">
        <v>120</v>
      </c>
      <c r="M2" t="s">
        <v>117</v>
      </c>
      <c r="N2" t="s">
        <v>118</v>
      </c>
      <c r="S2" t="s">
        <v>120</v>
      </c>
      <c r="T2" t="s">
        <v>117</v>
      </c>
      <c r="U2" t="s">
        <v>118</v>
      </c>
      <c r="X2" t="s">
        <v>120</v>
      </c>
      <c r="Y2" t="s">
        <v>117</v>
      </c>
      <c r="Z2" t="s">
        <v>118</v>
      </c>
      <c r="AC2" t="s">
        <v>120</v>
      </c>
      <c r="AD2" t="s">
        <v>115</v>
      </c>
      <c r="AE2" t="s">
        <v>116</v>
      </c>
    </row>
    <row r="3" spans="1:31">
      <c r="B3" t="s">
        <v>13</v>
      </c>
      <c r="C3">
        <v>1</v>
      </c>
      <c r="D3">
        <v>1</v>
      </c>
      <c r="G3" t="s">
        <v>13</v>
      </c>
      <c r="H3">
        <v>0</v>
      </c>
      <c r="I3">
        <v>1</v>
      </c>
      <c r="L3" t="s">
        <v>13</v>
      </c>
      <c r="M3">
        <v>0</v>
      </c>
      <c r="N3">
        <v>1</v>
      </c>
      <c r="S3" t="s">
        <v>13</v>
      </c>
      <c r="T3">
        <v>0</v>
      </c>
      <c r="U3">
        <v>2</v>
      </c>
      <c r="X3" t="s">
        <v>13</v>
      </c>
      <c r="Y3">
        <v>0</v>
      </c>
      <c r="Z3">
        <v>1</v>
      </c>
      <c r="AC3" t="s">
        <v>13</v>
      </c>
      <c r="AD3">
        <v>1</v>
      </c>
      <c r="AE3">
        <v>1</v>
      </c>
    </row>
    <row r="4" spans="1:31">
      <c r="B4" t="s">
        <v>14</v>
      </c>
      <c r="C4">
        <v>0</v>
      </c>
      <c r="D4">
        <v>3</v>
      </c>
      <c r="G4" t="s">
        <v>14</v>
      </c>
      <c r="H4">
        <v>0</v>
      </c>
      <c r="I4">
        <v>2</v>
      </c>
      <c r="L4" t="s">
        <v>14</v>
      </c>
      <c r="M4">
        <v>0</v>
      </c>
      <c r="N4">
        <v>1</v>
      </c>
      <c r="S4" t="s">
        <v>14</v>
      </c>
      <c r="T4">
        <v>1</v>
      </c>
      <c r="U4">
        <v>2</v>
      </c>
      <c r="X4" t="s">
        <v>14</v>
      </c>
      <c r="Y4">
        <v>0</v>
      </c>
      <c r="Z4">
        <v>1</v>
      </c>
      <c r="AC4" t="s">
        <v>14</v>
      </c>
      <c r="AD4">
        <v>1</v>
      </c>
      <c r="AE4">
        <v>1</v>
      </c>
    </row>
    <row r="11" spans="1:31">
      <c r="B11" t="s">
        <v>119</v>
      </c>
      <c r="G11" t="s">
        <v>123</v>
      </c>
      <c r="L11" t="s">
        <v>124</v>
      </c>
      <c r="S11" t="s">
        <v>119</v>
      </c>
      <c r="X11" t="s">
        <v>123</v>
      </c>
      <c r="AC11" t="s">
        <v>124</v>
      </c>
    </row>
    <row r="12" spans="1:31">
      <c r="B12" t="s">
        <v>121</v>
      </c>
      <c r="C12" t="s">
        <v>117</v>
      </c>
      <c r="D12" t="s">
        <v>118</v>
      </c>
      <c r="G12" t="s">
        <v>121</v>
      </c>
      <c r="H12" t="s">
        <v>117</v>
      </c>
      <c r="I12" t="s">
        <v>118</v>
      </c>
      <c r="L12" t="s">
        <v>121</v>
      </c>
      <c r="M12" t="s">
        <v>117</v>
      </c>
      <c r="N12" t="s">
        <v>118</v>
      </c>
      <c r="S12" t="s">
        <v>121</v>
      </c>
      <c r="T12" t="s">
        <v>117</v>
      </c>
      <c r="U12" t="s">
        <v>118</v>
      </c>
      <c r="X12" t="s">
        <v>121</v>
      </c>
      <c r="Y12" t="s">
        <v>117</v>
      </c>
      <c r="Z12" t="s">
        <v>118</v>
      </c>
      <c r="AC12" t="s">
        <v>121</v>
      </c>
      <c r="AD12" t="s">
        <v>115</v>
      </c>
      <c r="AE12" t="s">
        <v>116</v>
      </c>
    </row>
    <row r="13" spans="1:31">
      <c r="B13" t="s">
        <v>13</v>
      </c>
      <c r="C13">
        <v>0</v>
      </c>
      <c r="D13">
        <v>1</v>
      </c>
      <c r="G13" t="s">
        <v>13</v>
      </c>
      <c r="H13">
        <v>1</v>
      </c>
      <c r="I13">
        <v>0</v>
      </c>
      <c r="L13" t="s">
        <v>13</v>
      </c>
      <c r="M13">
        <v>0</v>
      </c>
      <c r="N13">
        <v>0</v>
      </c>
      <c r="S13" t="s">
        <v>13</v>
      </c>
      <c r="T13">
        <v>0</v>
      </c>
      <c r="U13">
        <v>1</v>
      </c>
      <c r="X13" t="s">
        <v>13</v>
      </c>
      <c r="Y13">
        <v>1</v>
      </c>
      <c r="Z13">
        <v>1</v>
      </c>
      <c r="AC13" t="s">
        <v>13</v>
      </c>
      <c r="AD13">
        <v>1</v>
      </c>
      <c r="AE13">
        <v>0</v>
      </c>
    </row>
    <row r="14" spans="1:31">
      <c r="B14" t="s">
        <v>14</v>
      </c>
      <c r="C14">
        <v>0</v>
      </c>
      <c r="D14">
        <v>3</v>
      </c>
      <c r="G14" t="s">
        <v>14</v>
      </c>
      <c r="H14">
        <v>1</v>
      </c>
      <c r="I14">
        <v>1</v>
      </c>
      <c r="L14" t="s">
        <v>14</v>
      </c>
      <c r="M14">
        <v>1</v>
      </c>
      <c r="N14">
        <v>0</v>
      </c>
      <c r="S14" t="s">
        <v>14</v>
      </c>
      <c r="T14">
        <v>0</v>
      </c>
      <c r="U14">
        <v>1</v>
      </c>
      <c r="X14" t="s">
        <v>14</v>
      </c>
      <c r="Y14">
        <v>1</v>
      </c>
      <c r="Z14">
        <v>0</v>
      </c>
      <c r="AC14" t="s">
        <v>14</v>
      </c>
      <c r="AD14">
        <v>1</v>
      </c>
      <c r="AE14">
        <v>0</v>
      </c>
    </row>
    <row r="21" spans="2:31">
      <c r="B21" t="s">
        <v>119</v>
      </c>
      <c r="G21" t="s">
        <v>123</v>
      </c>
      <c r="L21" t="s">
        <v>124</v>
      </c>
      <c r="S21" t="s">
        <v>119</v>
      </c>
      <c r="X21" t="s">
        <v>123</v>
      </c>
      <c r="AC21" t="s">
        <v>124</v>
      </c>
    </row>
    <row r="22" spans="2:31">
      <c r="B22" t="s">
        <v>122</v>
      </c>
      <c r="C22" t="s">
        <v>117</v>
      </c>
      <c r="D22" t="s">
        <v>118</v>
      </c>
      <c r="G22" t="s">
        <v>122</v>
      </c>
      <c r="H22" t="s">
        <v>117</v>
      </c>
      <c r="I22" t="s">
        <v>118</v>
      </c>
      <c r="L22" t="s">
        <v>122</v>
      </c>
      <c r="M22" t="s">
        <v>117</v>
      </c>
      <c r="N22" t="s">
        <v>118</v>
      </c>
      <c r="S22" t="s">
        <v>122</v>
      </c>
      <c r="T22" t="s">
        <v>115</v>
      </c>
      <c r="U22" t="s">
        <v>116</v>
      </c>
      <c r="X22" t="s">
        <v>122</v>
      </c>
      <c r="Y22" t="s">
        <v>115</v>
      </c>
      <c r="Z22" t="s">
        <v>116</v>
      </c>
      <c r="AC22" t="s">
        <v>122</v>
      </c>
      <c r="AD22" t="s">
        <v>115</v>
      </c>
      <c r="AE22" t="s">
        <v>116</v>
      </c>
    </row>
    <row r="23" spans="2:31">
      <c r="B23" t="s">
        <v>13</v>
      </c>
      <c r="C23">
        <v>0</v>
      </c>
      <c r="D23">
        <v>0</v>
      </c>
      <c r="G23" t="s">
        <v>13</v>
      </c>
      <c r="H23">
        <v>1</v>
      </c>
      <c r="I23">
        <v>1</v>
      </c>
      <c r="L23" t="s">
        <v>13</v>
      </c>
      <c r="M23">
        <v>1</v>
      </c>
      <c r="N23">
        <v>0</v>
      </c>
      <c r="S23" t="s">
        <v>13</v>
      </c>
      <c r="T23">
        <v>2</v>
      </c>
      <c r="U23">
        <v>1</v>
      </c>
      <c r="X23" t="s">
        <v>13</v>
      </c>
      <c r="Y23">
        <v>2</v>
      </c>
      <c r="Z23">
        <v>1</v>
      </c>
      <c r="AC23" t="s">
        <v>13</v>
      </c>
      <c r="AD23">
        <v>1</v>
      </c>
      <c r="AE23">
        <v>0</v>
      </c>
    </row>
    <row r="24" spans="2:31">
      <c r="B24" t="s">
        <v>14</v>
      </c>
      <c r="C24">
        <v>3</v>
      </c>
      <c r="D24">
        <v>1</v>
      </c>
      <c r="G24" t="s">
        <v>14</v>
      </c>
      <c r="H24">
        <v>3</v>
      </c>
      <c r="I24">
        <v>2</v>
      </c>
      <c r="L24" t="s">
        <v>14</v>
      </c>
      <c r="M24">
        <v>1</v>
      </c>
      <c r="N24">
        <v>0</v>
      </c>
      <c r="S24" t="s">
        <v>14</v>
      </c>
      <c r="T24">
        <v>3</v>
      </c>
      <c r="U24">
        <v>1</v>
      </c>
      <c r="X24" t="s">
        <v>14</v>
      </c>
      <c r="Y24">
        <v>3</v>
      </c>
      <c r="Z24">
        <v>1</v>
      </c>
      <c r="AC24" t="s">
        <v>14</v>
      </c>
      <c r="AD24">
        <v>1</v>
      </c>
      <c r="AE24">
        <v>0</v>
      </c>
    </row>
  </sheetData>
  <phoneticPr fontId="3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AE24"/>
  <sheetViews>
    <sheetView topLeftCell="L1" workbookViewId="0">
      <selection activeCell="T3" sqref="T3"/>
    </sheetView>
  </sheetViews>
  <sheetFormatPr defaultRowHeight="13.5"/>
  <sheetData>
    <row r="1" spans="1:31">
      <c r="A1" t="s">
        <v>113</v>
      </c>
      <c r="B1" t="s">
        <v>119</v>
      </c>
      <c r="G1" t="s">
        <v>123</v>
      </c>
      <c r="L1" t="s">
        <v>124</v>
      </c>
      <c r="R1" t="s">
        <v>114</v>
      </c>
      <c r="S1" t="s">
        <v>119</v>
      </c>
      <c r="X1" t="s">
        <v>123</v>
      </c>
      <c r="AC1" t="s">
        <v>124</v>
      </c>
    </row>
    <row r="2" spans="1:31">
      <c r="B2" t="s">
        <v>120</v>
      </c>
      <c r="C2" t="s">
        <v>117</v>
      </c>
      <c r="D2" t="s">
        <v>118</v>
      </c>
      <c r="G2" t="s">
        <v>120</v>
      </c>
      <c r="H2" t="s">
        <v>117</v>
      </c>
      <c r="I2" t="s">
        <v>118</v>
      </c>
      <c r="L2" t="s">
        <v>120</v>
      </c>
      <c r="M2" t="s">
        <v>117</v>
      </c>
      <c r="N2" t="s">
        <v>118</v>
      </c>
      <c r="S2" t="s">
        <v>120</v>
      </c>
      <c r="T2" t="s">
        <v>117</v>
      </c>
      <c r="U2" t="s">
        <v>118</v>
      </c>
      <c r="X2" t="s">
        <v>120</v>
      </c>
      <c r="Y2" t="s">
        <v>117</v>
      </c>
      <c r="Z2" t="s">
        <v>118</v>
      </c>
      <c r="AC2" t="s">
        <v>120</v>
      </c>
      <c r="AD2" t="s">
        <v>115</v>
      </c>
      <c r="AE2" t="s">
        <v>116</v>
      </c>
    </row>
    <row r="3" spans="1:31">
      <c r="B3" t="s">
        <v>13</v>
      </c>
      <c r="C3">
        <v>0</v>
      </c>
      <c r="D3">
        <v>0</v>
      </c>
      <c r="G3" t="s">
        <v>13</v>
      </c>
      <c r="H3">
        <v>0</v>
      </c>
      <c r="I3">
        <v>0</v>
      </c>
      <c r="L3" t="s">
        <v>13</v>
      </c>
      <c r="M3">
        <v>0</v>
      </c>
      <c r="N3">
        <v>0</v>
      </c>
      <c r="S3" t="s">
        <v>13</v>
      </c>
      <c r="T3">
        <v>0</v>
      </c>
      <c r="U3">
        <v>0</v>
      </c>
      <c r="X3" t="s">
        <v>13</v>
      </c>
      <c r="Y3">
        <v>0</v>
      </c>
      <c r="Z3">
        <v>0</v>
      </c>
      <c r="AC3" t="s">
        <v>13</v>
      </c>
      <c r="AD3">
        <v>0</v>
      </c>
      <c r="AE3">
        <v>0</v>
      </c>
    </row>
    <row r="4" spans="1:31">
      <c r="B4" t="s">
        <v>14</v>
      </c>
      <c r="C4">
        <v>0</v>
      </c>
      <c r="D4">
        <v>0</v>
      </c>
      <c r="G4" t="s">
        <v>14</v>
      </c>
      <c r="H4">
        <v>0</v>
      </c>
      <c r="I4">
        <v>1</v>
      </c>
      <c r="L4" t="s">
        <v>14</v>
      </c>
      <c r="M4">
        <v>0</v>
      </c>
      <c r="N4">
        <v>0</v>
      </c>
      <c r="S4" t="s">
        <v>14</v>
      </c>
      <c r="T4">
        <v>0</v>
      </c>
      <c r="U4">
        <v>1</v>
      </c>
      <c r="X4" t="s">
        <v>14</v>
      </c>
      <c r="Y4">
        <v>1</v>
      </c>
      <c r="Z4">
        <v>1</v>
      </c>
      <c r="AC4" t="s">
        <v>14</v>
      </c>
      <c r="AD4">
        <v>0</v>
      </c>
      <c r="AE4">
        <v>0</v>
      </c>
    </row>
    <row r="11" spans="1:31">
      <c r="B11" t="s">
        <v>119</v>
      </c>
      <c r="G11" t="s">
        <v>123</v>
      </c>
      <c r="L11" t="s">
        <v>124</v>
      </c>
      <c r="S11" t="s">
        <v>119</v>
      </c>
      <c r="X11" t="s">
        <v>123</v>
      </c>
      <c r="AC11" t="s">
        <v>124</v>
      </c>
    </row>
    <row r="12" spans="1:31">
      <c r="B12" t="s">
        <v>121</v>
      </c>
      <c r="C12" t="s">
        <v>117</v>
      </c>
      <c r="D12" t="s">
        <v>118</v>
      </c>
      <c r="G12" t="s">
        <v>121</v>
      </c>
      <c r="H12" t="s">
        <v>117</v>
      </c>
      <c r="I12" t="s">
        <v>118</v>
      </c>
      <c r="L12" t="s">
        <v>121</v>
      </c>
      <c r="M12" t="s">
        <v>117</v>
      </c>
      <c r="N12" t="s">
        <v>118</v>
      </c>
      <c r="S12" t="s">
        <v>121</v>
      </c>
      <c r="T12" t="s">
        <v>117</v>
      </c>
      <c r="U12" t="s">
        <v>118</v>
      </c>
      <c r="X12" t="s">
        <v>121</v>
      </c>
      <c r="Y12" t="s">
        <v>117</v>
      </c>
      <c r="Z12" t="s">
        <v>118</v>
      </c>
      <c r="AC12" t="s">
        <v>121</v>
      </c>
      <c r="AD12" t="s">
        <v>115</v>
      </c>
      <c r="AE12" t="s">
        <v>116</v>
      </c>
    </row>
    <row r="13" spans="1:31">
      <c r="B13" t="s">
        <v>13</v>
      </c>
      <c r="C13">
        <v>0</v>
      </c>
      <c r="D13">
        <v>0</v>
      </c>
      <c r="G13" t="s">
        <v>13</v>
      </c>
      <c r="H13">
        <v>0</v>
      </c>
      <c r="I13">
        <v>2</v>
      </c>
      <c r="L13" t="s">
        <v>13</v>
      </c>
      <c r="M13">
        <v>0</v>
      </c>
      <c r="N13">
        <v>1</v>
      </c>
      <c r="S13" t="s">
        <v>13</v>
      </c>
      <c r="T13">
        <v>0</v>
      </c>
      <c r="U13">
        <v>0</v>
      </c>
      <c r="X13" t="s">
        <v>13</v>
      </c>
      <c r="Y13">
        <v>0</v>
      </c>
      <c r="Z13">
        <v>0</v>
      </c>
      <c r="AC13" t="s">
        <v>13</v>
      </c>
      <c r="AD13">
        <v>0</v>
      </c>
      <c r="AE13">
        <v>0</v>
      </c>
    </row>
    <row r="14" spans="1:31">
      <c r="B14" t="s">
        <v>14</v>
      </c>
      <c r="C14">
        <v>1</v>
      </c>
      <c r="D14">
        <v>0</v>
      </c>
      <c r="G14" t="s">
        <v>14</v>
      </c>
      <c r="H14">
        <v>0</v>
      </c>
      <c r="I14">
        <v>2</v>
      </c>
      <c r="L14" t="s">
        <v>14</v>
      </c>
      <c r="M14">
        <v>0</v>
      </c>
      <c r="N14">
        <v>1</v>
      </c>
      <c r="S14" t="s">
        <v>14</v>
      </c>
      <c r="T14">
        <v>0</v>
      </c>
      <c r="U14">
        <v>0</v>
      </c>
      <c r="X14" t="s">
        <v>14</v>
      </c>
      <c r="Y14">
        <v>0</v>
      </c>
      <c r="Z14">
        <v>1</v>
      </c>
      <c r="AC14" t="s">
        <v>14</v>
      </c>
      <c r="AD14">
        <v>0</v>
      </c>
      <c r="AE14">
        <v>0</v>
      </c>
    </row>
    <row r="21" spans="2:31">
      <c r="B21" t="s">
        <v>119</v>
      </c>
      <c r="G21" t="s">
        <v>123</v>
      </c>
      <c r="L21" t="s">
        <v>124</v>
      </c>
      <c r="S21" t="s">
        <v>119</v>
      </c>
      <c r="X21" t="s">
        <v>123</v>
      </c>
      <c r="AC21" t="s">
        <v>124</v>
      </c>
    </row>
    <row r="22" spans="2:31">
      <c r="B22" t="s">
        <v>122</v>
      </c>
      <c r="C22" t="s">
        <v>117</v>
      </c>
      <c r="D22" t="s">
        <v>118</v>
      </c>
      <c r="G22" t="s">
        <v>122</v>
      </c>
      <c r="H22" t="s">
        <v>117</v>
      </c>
      <c r="I22" t="s">
        <v>118</v>
      </c>
      <c r="L22" t="s">
        <v>122</v>
      </c>
      <c r="M22" t="s">
        <v>117</v>
      </c>
      <c r="N22" t="s">
        <v>118</v>
      </c>
      <c r="S22" t="s">
        <v>122</v>
      </c>
      <c r="T22" t="s">
        <v>115</v>
      </c>
      <c r="U22" t="s">
        <v>116</v>
      </c>
      <c r="X22" t="s">
        <v>122</v>
      </c>
      <c r="Y22" t="s">
        <v>115</v>
      </c>
      <c r="Z22" t="s">
        <v>116</v>
      </c>
      <c r="AC22" t="s">
        <v>122</v>
      </c>
      <c r="AD22" t="s">
        <v>115</v>
      </c>
      <c r="AE22" t="s">
        <v>116</v>
      </c>
    </row>
    <row r="23" spans="2:31">
      <c r="B23" t="s">
        <v>13</v>
      </c>
      <c r="C23">
        <v>0</v>
      </c>
      <c r="D23">
        <v>0</v>
      </c>
      <c r="G23" t="s">
        <v>13</v>
      </c>
      <c r="H23">
        <v>0</v>
      </c>
      <c r="I23">
        <v>1</v>
      </c>
      <c r="L23" t="s">
        <v>13</v>
      </c>
      <c r="M23">
        <v>0</v>
      </c>
      <c r="N23">
        <v>1</v>
      </c>
      <c r="S23" t="s">
        <v>13</v>
      </c>
      <c r="T23">
        <v>0</v>
      </c>
      <c r="U23">
        <v>1</v>
      </c>
      <c r="X23" t="s">
        <v>13</v>
      </c>
      <c r="Y23">
        <v>1</v>
      </c>
      <c r="Z23">
        <v>0</v>
      </c>
      <c r="AC23" t="s">
        <v>13</v>
      </c>
      <c r="AD23">
        <v>0</v>
      </c>
      <c r="AE23">
        <v>0</v>
      </c>
    </row>
    <row r="24" spans="2:31">
      <c r="B24" t="s">
        <v>14</v>
      </c>
      <c r="C24">
        <v>0</v>
      </c>
      <c r="D24">
        <v>2</v>
      </c>
      <c r="G24" t="s">
        <v>14</v>
      </c>
      <c r="H24">
        <v>1</v>
      </c>
      <c r="I24">
        <v>1</v>
      </c>
      <c r="L24" t="s">
        <v>14</v>
      </c>
      <c r="M24">
        <v>0</v>
      </c>
      <c r="N24">
        <v>1</v>
      </c>
      <c r="S24" t="s">
        <v>14</v>
      </c>
      <c r="T24">
        <v>0</v>
      </c>
      <c r="U24">
        <v>2</v>
      </c>
      <c r="X24" t="s">
        <v>14</v>
      </c>
      <c r="Y24">
        <v>2</v>
      </c>
      <c r="Z24">
        <v>0</v>
      </c>
      <c r="AC24" t="s">
        <v>14</v>
      </c>
      <c r="AD24">
        <v>0</v>
      </c>
      <c r="AE24">
        <v>0</v>
      </c>
    </row>
  </sheetData>
  <phoneticPr fontId="3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AE24"/>
  <sheetViews>
    <sheetView topLeftCell="L1" workbookViewId="0">
      <selection activeCell="T3" sqref="T3"/>
    </sheetView>
  </sheetViews>
  <sheetFormatPr defaultRowHeight="13.5"/>
  <sheetData>
    <row r="1" spans="1:31">
      <c r="A1" t="s">
        <v>113</v>
      </c>
      <c r="B1" t="s">
        <v>119</v>
      </c>
      <c r="G1" t="s">
        <v>123</v>
      </c>
      <c r="L1" t="s">
        <v>124</v>
      </c>
      <c r="R1" t="s">
        <v>114</v>
      </c>
      <c r="S1" t="s">
        <v>119</v>
      </c>
      <c r="X1" t="s">
        <v>123</v>
      </c>
      <c r="AC1" t="s">
        <v>124</v>
      </c>
    </row>
    <row r="2" spans="1:31">
      <c r="B2" t="s">
        <v>120</v>
      </c>
      <c r="C2" t="s">
        <v>117</v>
      </c>
      <c r="D2" t="s">
        <v>118</v>
      </c>
      <c r="G2" t="s">
        <v>120</v>
      </c>
      <c r="H2" t="s">
        <v>117</v>
      </c>
      <c r="I2" t="s">
        <v>118</v>
      </c>
      <c r="L2" t="s">
        <v>120</v>
      </c>
      <c r="M2" t="s">
        <v>117</v>
      </c>
      <c r="N2" t="s">
        <v>118</v>
      </c>
      <c r="S2" t="s">
        <v>120</v>
      </c>
      <c r="T2" t="s">
        <v>117</v>
      </c>
      <c r="U2" t="s">
        <v>118</v>
      </c>
      <c r="X2" t="s">
        <v>120</v>
      </c>
      <c r="Y2" t="s">
        <v>117</v>
      </c>
      <c r="Z2" t="s">
        <v>118</v>
      </c>
      <c r="AC2" t="s">
        <v>120</v>
      </c>
      <c r="AD2" t="s">
        <v>115</v>
      </c>
      <c r="AE2" t="s">
        <v>116</v>
      </c>
    </row>
    <row r="3" spans="1:31">
      <c r="B3" t="s">
        <v>13</v>
      </c>
      <c r="C3">
        <v>0</v>
      </c>
      <c r="D3">
        <v>1</v>
      </c>
      <c r="G3" t="s">
        <v>13</v>
      </c>
      <c r="H3">
        <v>0</v>
      </c>
      <c r="I3">
        <v>1</v>
      </c>
      <c r="L3" t="s">
        <v>13</v>
      </c>
      <c r="M3">
        <v>0</v>
      </c>
      <c r="N3">
        <v>0</v>
      </c>
      <c r="S3" t="s">
        <v>13</v>
      </c>
      <c r="T3">
        <v>1</v>
      </c>
      <c r="U3">
        <v>1</v>
      </c>
      <c r="X3" t="s">
        <v>13</v>
      </c>
      <c r="Y3">
        <v>0</v>
      </c>
      <c r="Z3">
        <v>3</v>
      </c>
      <c r="AC3" t="s">
        <v>13</v>
      </c>
      <c r="AD3">
        <v>0</v>
      </c>
      <c r="AE3">
        <v>1</v>
      </c>
    </row>
    <row r="4" spans="1:31">
      <c r="B4" t="s">
        <v>14</v>
      </c>
      <c r="C4">
        <v>1</v>
      </c>
      <c r="D4">
        <v>1</v>
      </c>
      <c r="G4" t="s">
        <v>14</v>
      </c>
      <c r="H4">
        <v>0</v>
      </c>
      <c r="I4">
        <v>2</v>
      </c>
      <c r="L4" t="s">
        <v>14</v>
      </c>
      <c r="M4">
        <v>0</v>
      </c>
      <c r="N4">
        <v>0</v>
      </c>
      <c r="S4" t="s">
        <v>14</v>
      </c>
      <c r="T4">
        <v>0</v>
      </c>
      <c r="U4">
        <v>1</v>
      </c>
      <c r="X4" t="s">
        <v>14</v>
      </c>
      <c r="Y4">
        <v>0</v>
      </c>
      <c r="Z4">
        <v>4</v>
      </c>
      <c r="AC4" t="s">
        <v>14</v>
      </c>
      <c r="AD4">
        <v>0</v>
      </c>
      <c r="AE4">
        <v>0</v>
      </c>
    </row>
    <row r="11" spans="1:31">
      <c r="B11" t="s">
        <v>119</v>
      </c>
      <c r="G11" t="s">
        <v>123</v>
      </c>
      <c r="L11" t="s">
        <v>124</v>
      </c>
      <c r="S11" t="s">
        <v>119</v>
      </c>
      <c r="X11" t="s">
        <v>123</v>
      </c>
      <c r="AC11" t="s">
        <v>124</v>
      </c>
    </row>
    <row r="12" spans="1:31">
      <c r="B12" t="s">
        <v>121</v>
      </c>
      <c r="C12" t="s">
        <v>117</v>
      </c>
      <c r="D12" t="s">
        <v>118</v>
      </c>
      <c r="G12" t="s">
        <v>121</v>
      </c>
      <c r="H12" t="s">
        <v>117</v>
      </c>
      <c r="I12" t="s">
        <v>118</v>
      </c>
      <c r="L12" t="s">
        <v>121</v>
      </c>
      <c r="M12" t="s">
        <v>117</v>
      </c>
      <c r="N12" t="s">
        <v>118</v>
      </c>
      <c r="S12" t="s">
        <v>121</v>
      </c>
      <c r="T12" t="s">
        <v>117</v>
      </c>
      <c r="U12" t="s">
        <v>118</v>
      </c>
      <c r="X12" t="s">
        <v>121</v>
      </c>
      <c r="Y12" t="s">
        <v>117</v>
      </c>
      <c r="Z12" t="s">
        <v>118</v>
      </c>
      <c r="AC12" t="s">
        <v>121</v>
      </c>
      <c r="AD12" t="s">
        <v>115</v>
      </c>
      <c r="AE12" t="s">
        <v>116</v>
      </c>
    </row>
    <row r="13" spans="1:31">
      <c r="B13" t="s">
        <v>13</v>
      </c>
      <c r="C13">
        <v>0</v>
      </c>
      <c r="D13">
        <v>0</v>
      </c>
      <c r="G13" t="s">
        <v>13</v>
      </c>
      <c r="H13">
        <v>0</v>
      </c>
      <c r="I13">
        <v>0</v>
      </c>
      <c r="L13" t="s">
        <v>13</v>
      </c>
      <c r="M13">
        <v>0</v>
      </c>
      <c r="N13">
        <v>0</v>
      </c>
      <c r="S13" t="s">
        <v>13</v>
      </c>
      <c r="T13">
        <v>0</v>
      </c>
      <c r="U13">
        <v>1</v>
      </c>
      <c r="X13" t="s">
        <v>13</v>
      </c>
      <c r="Y13">
        <v>1</v>
      </c>
      <c r="Z13">
        <v>1</v>
      </c>
      <c r="AC13" t="s">
        <v>13</v>
      </c>
      <c r="AD13">
        <v>1</v>
      </c>
      <c r="AE13">
        <v>0</v>
      </c>
    </row>
    <row r="14" spans="1:31">
      <c r="B14" t="s">
        <v>14</v>
      </c>
      <c r="C14">
        <v>0</v>
      </c>
      <c r="D14">
        <v>1</v>
      </c>
      <c r="G14" t="s">
        <v>14</v>
      </c>
      <c r="H14">
        <v>0</v>
      </c>
      <c r="I14">
        <v>0</v>
      </c>
      <c r="L14" t="s">
        <v>14</v>
      </c>
      <c r="M14">
        <v>0</v>
      </c>
      <c r="N14">
        <v>0</v>
      </c>
      <c r="S14" t="s">
        <v>14</v>
      </c>
      <c r="T14">
        <v>0</v>
      </c>
      <c r="U14">
        <v>1</v>
      </c>
      <c r="X14" t="s">
        <v>14</v>
      </c>
      <c r="Y14">
        <v>1</v>
      </c>
      <c r="Z14">
        <v>1</v>
      </c>
      <c r="AC14" t="s">
        <v>14</v>
      </c>
      <c r="AD14">
        <v>0</v>
      </c>
      <c r="AE14">
        <v>0</v>
      </c>
    </row>
    <row r="21" spans="2:31">
      <c r="B21" t="s">
        <v>119</v>
      </c>
      <c r="G21" t="s">
        <v>123</v>
      </c>
      <c r="L21" t="s">
        <v>124</v>
      </c>
      <c r="S21" t="s">
        <v>119</v>
      </c>
      <c r="X21" t="s">
        <v>123</v>
      </c>
      <c r="AC21" t="s">
        <v>124</v>
      </c>
    </row>
    <row r="22" spans="2:31">
      <c r="B22" t="s">
        <v>122</v>
      </c>
      <c r="C22" t="s">
        <v>117</v>
      </c>
      <c r="D22" t="s">
        <v>118</v>
      </c>
      <c r="G22" t="s">
        <v>122</v>
      </c>
      <c r="H22" t="s">
        <v>117</v>
      </c>
      <c r="I22" t="s">
        <v>118</v>
      </c>
      <c r="L22" t="s">
        <v>122</v>
      </c>
      <c r="M22" t="s">
        <v>117</v>
      </c>
      <c r="N22" t="s">
        <v>118</v>
      </c>
      <c r="S22" t="s">
        <v>122</v>
      </c>
      <c r="T22" t="s">
        <v>115</v>
      </c>
      <c r="U22" t="s">
        <v>116</v>
      </c>
      <c r="X22" t="s">
        <v>122</v>
      </c>
      <c r="Y22" t="s">
        <v>115</v>
      </c>
      <c r="Z22" t="s">
        <v>116</v>
      </c>
      <c r="AC22" t="s">
        <v>122</v>
      </c>
      <c r="AD22" t="s">
        <v>115</v>
      </c>
      <c r="AE22" t="s">
        <v>116</v>
      </c>
    </row>
    <row r="23" spans="2:31">
      <c r="B23" t="s">
        <v>13</v>
      </c>
      <c r="C23">
        <v>0</v>
      </c>
      <c r="D23">
        <v>0</v>
      </c>
      <c r="G23" t="s">
        <v>13</v>
      </c>
      <c r="H23">
        <v>1</v>
      </c>
      <c r="I23">
        <v>0</v>
      </c>
      <c r="L23" t="s">
        <v>13</v>
      </c>
      <c r="M23">
        <v>0</v>
      </c>
      <c r="N23">
        <v>0</v>
      </c>
      <c r="S23" t="s">
        <v>13</v>
      </c>
      <c r="T23">
        <v>2</v>
      </c>
      <c r="U23">
        <v>2</v>
      </c>
      <c r="X23" t="s">
        <v>13</v>
      </c>
      <c r="Y23">
        <v>4</v>
      </c>
      <c r="Z23">
        <v>1</v>
      </c>
      <c r="AC23" t="s">
        <v>13</v>
      </c>
      <c r="AD23">
        <v>1</v>
      </c>
      <c r="AE23">
        <v>0</v>
      </c>
    </row>
    <row r="24" spans="2:31">
      <c r="B24" t="s">
        <v>14</v>
      </c>
      <c r="C24">
        <v>3</v>
      </c>
      <c r="D24">
        <v>1</v>
      </c>
      <c r="G24" t="s">
        <v>14</v>
      </c>
      <c r="H24">
        <v>1</v>
      </c>
      <c r="I24">
        <v>0</v>
      </c>
      <c r="L24" t="s">
        <v>14</v>
      </c>
      <c r="M24">
        <v>0</v>
      </c>
      <c r="N24">
        <v>0</v>
      </c>
      <c r="S24" t="s">
        <v>14</v>
      </c>
      <c r="T24">
        <v>3</v>
      </c>
      <c r="U24">
        <v>2</v>
      </c>
      <c r="X24" t="s">
        <v>14</v>
      </c>
      <c r="Y24">
        <v>4</v>
      </c>
      <c r="Z24">
        <v>1</v>
      </c>
      <c r="AC24" t="s">
        <v>14</v>
      </c>
      <c r="AD24">
        <v>1</v>
      </c>
      <c r="AE24">
        <v>0</v>
      </c>
    </row>
  </sheetData>
  <phoneticPr fontId="3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AE24"/>
  <sheetViews>
    <sheetView workbookViewId="0">
      <selection activeCell="T3" sqref="T3"/>
    </sheetView>
  </sheetViews>
  <sheetFormatPr defaultRowHeight="13.5"/>
  <sheetData>
    <row r="1" spans="1:31">
      <c r="A1" t="s">
        <v>113</v>
      </c>
      <c r="B1" t="s">
        <v>119</v>
      </c>
      <c r="G1" t="s">
        <v>123</v>
      </c>
      <c r="L1" t="s">
        <v>124</v>
      </c>
      <c r="R1" t="s">
        <v>114</v>
      </c>
      <c r="S1" t="s">
        <v>119</v>
      </c>
      <c r="X1" t="s">
        <v>123</v>
      </c>
      <c r="AC1" t="s">
        <v>124</v>
      </c>
    </row>
    <row r="2" spans="1:31">
      <c r="B2" t="s">
        <v>120</v>
      </c>
      <c r="C2" t="s">
        <v>117</v>
      </c>
      <c r="D2" t="s">
        <v>118</v>
      </c>
      <c r="G2" t="s">
        <v>120</v>
      </c>
      <c r="H2" t="s">
        <v>117</v>
      </c>
      <c r="I2" t="s">
        <v>118</v>
      </c>
      <c r="L2" t="s">
        <v>120</v>
      </c>
      <c r="M2" t="s">
        <v>115</v>
      </c>
      <c r="N2" t="s">
        <v>116</v>
      </c>
      <c r="S2" t="s">
        <v>120</v>
      </c>
      <c r="T2" t="s">
        <v>117</v>
      </c>
      <c r="U2" t="s">
        <v>118</v>
      </c>
      <c r="X2" t="s">
        <v>120</v>
      </c>
      <c r="Y2" t="s">
        <v>117</v>
      </c>
      <c r="Z2" t="s">
        <v>118</v>
      </c>
      <c r="AC2" t="s">
        <v>120</v>
      </c>
      <c r="AD2" t="s">
        <v>115</v>
      </c>
      <c r="AE2" t="s">
        <v>116</v>
      </c>
    </row>
    <row r="3" spans="1:31">
      <c r="B3" t="s">
        <v>13</v>
      </c>
      <c r="C3">
        <v>0</v>
      </c>
      <c r="D3">
        <v>1</v>
      </c>
      <c r="G3" t="s">
        <v>13</v>
      </c>
      <c r="H3">
        <v>0</v>
      </c>
      <c r="I3">
        <v>1</v>
      </c>
      <c r="L3" t="s">
        <v>13</v>
      </c>
      <c r="M3">
        <v>0</v>
      </c>
      <c r="N3">
        <v>1</v>
      </c>
      <c r="S3" t="s">
        <v>13</v>
      </c>
      <c r="T3">
        <v>0</v>
      </c>
      <c r="U3">
        <v>2</v>
      </c>
      <c r="X3" t="s">
        <v>13</v>
      </c>
      <c r="Y3">
        <v>0</v>
      </c>
      <c r="Z3">
        <v>3</v>
      </c>
      <c r="AC3" t="s">
        <v>13</v>
      </c>
      <c r="AD3">
        <v>0</v>
      </c>
      <c r="AE3">
        <v>0</v>
      </c>
    </row>
    <row r="4" spans="1:31">
      <c r="B4" t="s">
        <v>14</v>
      </c>
      <c r="C4">
        <v>0</v>
      </c>
      <c r="D4">
        <v>1</v>
      </c>
      <c r="G4" t="s">
        <v>14</v>
      </c>
      <c r="H4">
        <v>0</v>
      </c>
      <c r="I4">
        <v>2</v>
      </c>
      <c r="L4" t="s">
        <v>14</v>
      </c>
      <c r="M4">
        <v>0</v>
      </c>
      <c r="N4">
        <v>0</v>
      </c>
      <c r="S4" t="s">
        <v>14</v>
      </c>
      <c r="T4">
        <v>0</v>
      </c>
      <c r="U4">
        <v>2</v>
      </c>
      <c r="X4" t="s">
        <v>14</v>
      </c>
      <c r="Y4">
        <v>0</v>
      </c>
      <c r="Z4">
        <v>2</v>
      </c>
      <c r="AC4" t="s">
        <v>14</v>
      </c>
      <c r="AD4">
        <v>1</v>
      </c>
      <c r="AE4">
        <v>0</v>
      </c>
    </row>
    <row r="11" spans="1:31">
      <c r="B11" t="s">
        <v>119</v>
      </c>
      <c r="G11" t="s">
        <v>123</v>
      </c>
      <c r="L11" t="s">
        <v>124</v>
      </c>
      <c r="S11" t="s">
        <v>119</v>
      </c>
      <c r="X11" t="s">
        <v>123</v>
      </c>
      <c r="AC11" t="s">
        <v>124</v>
      </c>
    </row>
    <row r="12" spans="1:31">
      <c r="B12" t="s">
        <v>121</v>
      </c>
      <c r="C12" t="s">
        <v>117</v>
      </c>
      <c r="D12" t="s">
        <v>118</v>
      </c>
      <c r="G12" t="s">
        <v>121</v>
      </c>
      <c r="H12" t="s">
        <v>117</v>
      </c>
      <c r="I12" t="s">
        <v>118</v>
      </c>
      <c r="L12" t="s">
        <v>121</v>
      </c>
      <c r="M12" t="s">
        <v>117</v>
      </c>
      <c r="N12" t="s">
        <v>118</v>
      </c>
      <c r="S12" t="s">
        <v>121</v>
      </c>
      <c r="T12" t="s">
        <v>117</v>
      </c>
      <c r="U12" t="s">
        <v>118</v>
      </c>
      <c r="X12" t="s">
        <v>121</v>
      </c>
      <c r="Y12" t="s">
        <v>115</v>
      </c>
      <c r="Z12" t="s">
        <v>116</v>
      </c>
      <c r="AC12" t="s">
        <v>121</v>
      </c>
      <c r="AD12" t="s">
        <v>115</v>
      </c>
      <c r="AE12" t="s">
        <v>116</v>
      </c>
    </row>
    <row r="13" spans="1:31">
      <c r="B13" t="s">
        <v>13</v>
      </c>
      <c r="C13">
        <v>0</v>
      </c>
      <c r="D13">
        <v>0</v>
      </c>
      <c r="G13" t="s">
        <v>13</v>
      </c>
      <c r="H13">
        <v>0</v>
      </c>
      <c r="I13">
        <v>1</v>
      </c>
      <c r="L13" t="s">
        <v>13</v>
      </c>
      <c r="M13">
        <v>0</v>
      </c>
      <c r="N13">
        <v>0</v>
      </c>
      <c r="S13" t="s">
        <v>13</v>
      </c>
      <c r="T13">
        <v>0</v>
      </c>
      <c r="U13">
        <v>1</v>
      </c>
      <c r="X13" t="s">
        <v>13</v>
      </c>
      <c r="Y13">
        <v>0</v>
      </c>
      <c r="Z13">
        <v>1</v>
      </c>
      <c r="AC13" t="s">
        <v>13</v>
      </c>
      <c r="AD13">
        <v>1</v>
      </c>
      <c r="AE13">
        <v>0</v>
      </c>
    </row>
    <row r="14" spans="1:31">
      <c r="B14" t="s">
        <v>14</v>
      </c>
      <c r="C14">
        <v>1</v>
      </c>
      <c r="D14">
        <v>2</v>
      </c>
      <c r="G14" t="s">
        <v>14</v>
      </c>
      <c r="H14">
        <v>1</v>
      </c>
      <c r="I14">
        <v>1</v>
      </c>
      <c r="L14" t="s">
        <v>14</v>
      </c>
      <c r="M14">
        <v>1</v>
      </c>
      <c r="N14">
        <v>0</v>
      </c>
      <c r="S14" t="s">
        <v>14</v>
      </c>
      <c r="T14">
        <v>0</v>
      </c>
      <c r="U14">
        <v>1</v>
      </c>
      <c r="X14" t="s">
        <v>14</v>
      </c>
      <c r="Y14">
        <v>0</v>
      </c>
      <c r="Z14">
        <v>2</v>
      </c>
      <c r="AC14" t="s">
        <v>14</v>
      </c>
      <c r="AD14">
        <v>1</v>
      </c>
      <c r="AE14">
        <v>0</v>
      </c>
    </row>
    <row r="21" spans="2:31">
      <c r="B21" t="s">
        <v>119</v>
      </c>
      <c r="G21" t="s">
        <v>123</v>
      </c>
      <c r="L21" t="s">
        <v>124</v>
      </c>
      <c r="S21" t="s">
        <v>119</v>
      </c>
      <c r="X21" t="s">
        <v>123</v>
      </c>
      <c r="AC21" t="s">
        <v>124</v>
      </c>
    </row>
    <row r="22" spans="2:31">
      <c r="B22" t="s">
        <v>122</v>
      </c>
      <c r="C22" t="s">
        <v>117</v>
      </c>
      <c r="D22" t="s">
        <v>118</v>
      </c>
      <c r="G22" t="s">
        <v>122</v>
      </c>
      <c r="H22" t="s">
        <v>117</v>
      </c>
      <c r="I22" t="s">
        <v>118</v>
      </c>
      <c r="L22" t="s">
        <v>122</v>
      </c>
      <c r="M22" t="s">
        <v>117</v>
      </c>
      <c r="N22" t="s">
        <v>118</v>
      </c>
      <c r="S22" t="s">
        <v>122</v>
      </c>
      <c r="T22" t="s">
        <v>115</v>
      </c>
      <c r="U22" t="s">
        <v>116</v>
      </c>
      <c r="X22" t="s">
        <v>122</v>
      </c>
      <c r="Y22" t="s">
        <v>117</v>
      </c>
      <c r="Z22" t="s">
        <v>109</v>
      </c>
      <c r="AC22" t="s">
        <v>122</v>
      </c>
      <c r="AD22" t="s">
        <v>117</v>
      </c>
      <c r="AE22" t="s">
        <v>118</v>
      </c>
    </row>
    <row r="23" spans="2:31">
      <c r="B23" t="s">
        <v>13</v>
      </c>
      <c r="C23">
        <v>0</v>
      </c>
      <c r="D23">
        <v>0</v>
      </c>
      <c r="G23" t="s">
        <v>13</v>
      </c>
      <c r="H23">
        <v>1</v>
      </c>
      <c r="I23">
        <v>1</v>
      </c>
      <c r="L23" t="s">
        <v>13</v>
      </c>
      <c r="M23">
        <v>0</v>
      </c>
      <c r="N23">
        <v>0</v>
      </c>
      <c r="S23" t="s">
        <v>13</v>
      </c>
      <c r="T23">
        <v>2</v>
      </c>
      <c r="U23">
        <v>1</v>
      </c>
      <c r="X23" t="s">
        <v>13</v>
      </c>
      <c r="Y23">
        <v>3</v>
      </c>
      <c r="Z23">
        <v>1</v>
      </c>
      <c r="AC23" t="s">
        <v>13</v>
      </c>
      <c r="AD23">
        <v>1</v>
      </c>
      <c r="AE23">
        <v>0</v>
      </c>
    </row>
    <row r="24" spans="2:31">
      <c r="B24" t="s">
        <v>14</v>
      </c>
      <c r="C24">
        <v>2</v>
      </c>
      <c r="D24">
        <v>1</v>
      </c>
      <c r="G24" t="s">
        <v>14</v>
      </c>
      <c r="H24">
        <v>3</v>
      </c>
      <c r="I24">
        <v>1</v>
      </c>
      <c r="L24" t="s">
        <v>14</v>
      </c>
      <c r="M24">
        <v>0</v>
      </c>
      <c r="N24">
        <v>0</v>
      </c>
      <c r="S24" t="s">
        <v>14</v>
      </c>
      <c r="T24">
        <v>4</v>
      </c>
      <c r="U24">
        <v>1</v>
      </c>
      <c r="X24" t="s">
        <v>14</v>
      </c>
      <c r="Y24">
        <v>4</v>
      </c>
      <c r="Z24">
        <v>0</v>
      </c>
      <c r="AC24" t="s">
        <v>14</v>
      </c>
      <c r="AD24">
        <v>1</v>
      </c>
      <c r="AE24">
        <v>0</v>
      </c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Results_Summary</vt:lpstr>
      <vt:lpstr>US</vt:lpstr>
      <vt:lpstr>EUROPE</vt:lpstr>
      <vt:lpstr>JAPAN</vt:lpstr>
      <vt:lpstr>OVERALL</vt:lpstr>
      <vt:lpstr>Sheet7</vt:lpstr>
      <vt:lpstr>EUROPE_C</vt:lpstr>
      <vt:lpstr>JAPAN_C</vt:lpstr>
      <vt:lpstr>US_C</vt:lpstr>
      <vt:lpstr>OVERALL_C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2014-11-13T08:59:09Z</dcterms:modified>
</cp:coreProperties>
</file>